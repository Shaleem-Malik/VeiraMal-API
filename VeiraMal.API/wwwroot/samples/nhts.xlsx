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. Shaleem Malik USA Client\Testing\"/>
    </mc:Choice>
  </mc:AlternateContent>
  <xr:revisionPtr revIDLastSave="0" documentId="13_ncr:1_{7AA81C29-9CB3-433B-BC94-1AE43098E192}" xr6:coauthVersionLast="36" xr6:coauthVersionMax="47" xr10:uidLastSave="{00000000-0000-0000-0000-000000000000}"/>
  <bookViews>
    <workbookView xWindow="-120" yWindow="-120" windowWidth="29040" windowHeight="15840" xr2:uid="{F4BDC673-583F-4A54-8E44-BB43CD6AAA7E}"/>
  </bookViews>
  <sheets>
    <sheet name="NHT" sheetId="1" r:id="rId1"/>
  </sheets>
  <definedNames>
    <definedName name="_xlnm._FilterDatabase" localSheetId="0" hidden="1">NHT!$A$1:$X$50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0" i="1" l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</calcChain>
</file>

<file path=xl/sharedStrings.xml><?xml version="1.0" encoding="utf-8"?>
<sst xmlns="http://schemas.openxmlformats.org/spreadsheetml/2006/main" count="775" uniqueCount="401">
  <si>
    <t>Pers.no.</t>
  </si>
  <si>
    <t>Last name</t>
  </si>
  <si>
    <t>First name</t>
  </si>
  <si>
    <t>Age of employee</t>
  </si>
  <si>
    <t>Gender Key</t>
  </si>
  <si>
    <t>Name of superior (OM)</t>
  </si>
  <si>
    <t>Organizational Key</t>
  </si>
  <si>
    <t>Organizational Unit</t>
  </si>
  <si>
    <t>Personnel Area</t>
  </si>
  <si>
    <t>Personnel Subarea</t>
  </si>
  <si>
    <t>Employee Group</t>
  </si>
  <si>
    <t>Employee Subgroup</t>
  </si>
  <si>
    <t>Lv</t>
  </si>
  <si>
    <t>Date</t>
  </si>
  <si>
    <t>Empl. %</t>
  </si>
  <si>
    <t>Position</t>
  </si>
  <si>
    <t>Action Type</t>
  </si>
  <si>
    <t>Cost Centre Number</t>
  </si>
  <si>
    <t>Cost Centre Description</t>
  </si>
  <si>
    <t>Salaried / Waged</t>
  </si>
  <si>
    <t>Location</t>
  </si>
  <si>
    <t>Business Unit</t>
  </si>
  <si>
    <t>Month</t>
  </si>
  <si>
    <t>3547</t>
  </si>
  <si>
    <t>Harms</t>
  </si>
  <si>
    <t>Deborah</t>
  </si>
  <si>
    <t>Female</t>
  </si>
  <si>
    <t>Etiemble , Eglantine</t>
  </si>
  <si>
    <t>Information Technology</t>
  </si>
  <si>
    <t>Project Quantum</t>
  </si>
  <si>
    <t>VIC - GPA - Staff</t>
  </si>
  <si>
    <t>Hawthorn Day</t>
  </si>
  <si>
    <t>Full Time</t>
  </si>
  <si>
    <t>Salaried Staff</t>
  </si>
  <si>
    <t>04</t>
  </si>
  <si>
    <t>50007766</t>
  </si>
  <si>
    <t>Deployment Lead - SAP</t>
  </si>
  <si>
    <t>September</t>
  </si>
  <si>
    <t>3548</t>
  </si>
  <si>
    <t>Jager</t>
  </si>
  <si>
    <t>Diane</t>
  </si>
  <si>
    <t>50007764</t>
  </si>
  <si>
    <t>Business Analyst - SAP</t>
  </si>
  <si>
    <t>3549</t>
  </si>
  <si>
    <t>Drummond</t>
  </si>
  <si>
    <t>Geoff</t>
  </si>
  <si>
    <t>Male</t>
  </si>
  <si>
    <t>Abbott , Keith</t>
  </si>
  <si>
    <t>Human Resources</t>
  </si>
  <si>
    <t>Human Resources Business Partnering</t>
  </si>
  <si>
    <t>NSW - GPA - Staff</t>
  </si>
  <si>
    <t>Sydney</t>
  </si>
  <si>
    <t>09</t>
  </si>
  <si>
    <t>50007754</t>
  </si>
  <si>
    <t>Human Resource Manager</t>
  </si>
  <si>
    <t>3550</t>
  </si>
  <si>
    <t>Giradkar</t>
  </si>
  <si>
    <t>Ratnesh</t>
  </si>
  <si>
    <t>50007765</t>
  </si>
  <si>
    <t>3551</t>
  </si>
  <si>
    <t>Fairbairn</t>
  </si>
  <si>
    <t>Sandy</t>
  </si>
  <si>
    <t>Senanayake , Jeewani</t>
  </si>
  <si>
    <t>Finance</t>
  </si>
  <si>
    <t>Process Improvement</t>
  </si>
  <si>
    <t>05</t>
  </si>
  <si>
    <t>50007769</t>
  </si>
  <si>
    <t>Master Data Analyst</t>
  </si>
  <si>
    <t>3553</t>
  </si>
  <si>
    <t>Hamilton</t>
  </si>
  <si>
    <t>Susan</t>
  </si>
  <si>
    <t>Morris , Samantha</t>
  </si>
  <si>
    <t>Change Management</t>
  </si>
  <si>
    <t>Part Time</t>
  </si>
  <si>
    <t>50007763</t>
  </si>
  <si>
    <t>Change Manager</t>
  </si>
  <si>
    <t>3554</t>
  </si>
  <si>
    <t>Chan Foung</t>
  </si>
  <si>
    <t>Patrick</t>
  </si>
  <si>
    <t>Savage , Ronald</t>
  </si>
  <si>
    <t>Manufacturing &amp; Engineering</t>
  </si>
  <si>
    <t>Cullet Operations</t>
  </si>
  <si>
    <t>QLD - GPA - Staff</t>
  </si>
  <si>
    <t>Brisbane</t>
  </si>
  <si>
    <t>06</t>
  </si>
  <si>
    <t>50007780</t>
  </si>
  <si>
    <t>Team Leader</t>
  </si>
  <si>
    <t>3555</t>
  </si>
  <si>
    <t>Pudsey</t>
  </si>
  <si>
    <t>Scott</t>
  </si>
  <si>
    <t>Torvi , Girish</t>
  </si>
  <si>
    <t>Mould Repair</t>
  </si>
  <si>
    <t>NSW - GPA - Wages</t>
  </si>
  <si>
    <t>Wages Glass</t>
  </si>
  <si>
    <t>G1</t>
  </si>
  <si>
    <t>50007768</t>
  </si>
  <si>
    <t>Mould Cleaner</t>
  </si>
  <si>
    <t>3556</t>
  </si>
  <si>
    <t>Linden</t>
  </si>
  <si>
    <t>Mark</t>
  </si>
  <si>
    <t>Nair , Keshwan</t>
  </si>
  <si>
    <t>Batch &amp; Furnace</t>
  </si>
  <si>
    <t>50007785</t>
  </si>
  <si>
    <t>Batch House Operator</t>
  </si>
  <si>
    <t>3557</t>
  </si>
  <si>
    <t>Rosamilia</t>
  </si>
  <si>
    <t>Vito</t>
  </si>
  <si>
    <t>50007779</t>
  </si>
  <si>
    <t>Business Lead - P2P</t>
  </si>
  <si>
    <t>3558</t>
  </si>
  <si>
    <t>Nikas</t>
  </si>
  <si>
    <t>Barry</t>
  </si>
  <si>
    <t>Fulton , Jason</t>
  </si>
  <si>
    <t>Supply Chain</t>
  </si>
  <si>
    <t>Distribution - Queensland</t>
  </si>
  <si>
    <t>Management Staff</t>
  </si>
  <si>
    <t>10</t>
  </si>
  <si>
    <t>50007758</t>
  </si>
  <si>
    <t>Queensland Logistics Lead</t>
  </si>
  <si>
    <t>3559</t>
  </si>
  <si>
    <t>Sy</t>
  </si>
  <si>
    <t>Li Kai</t>
  </si>
  <si>
    <t>Simon , John</t>
  </si>
  <si>
    <t>Administration &amp; Facilities</t>
  </si>
  <si>
    <t>08</t>
  </si>
  <si>
    <t>50007762</t>
  </si>
  <si>
    <t>Corporate and Compliance Accountant</t>
  </si>
  <si>
    <t>10000753</t>
  </si>
  <si>
    <t>Tupaea</t>
  </si>
  <si>
    <t>Amber</t>
  </si>
  <si>
    <t>Wu , Jessie</t>
  </si>
  <si>
    <t>Sales &amp; Marketing</t>
  </si>
  <si>
    <t>Auckland - GPNZ - Staff</t>
  </si>
  <si>
    <t>Auckland</t>
  </si>
  <si>
    <t>50002877</t>
  </si>
  <si>
    <t>Customer Service Officer</t>
  </si>
  <si>
    <t>10000754</t>
  </si>
  <si>
    <t>Theodore</t>
  </si>
  <si>
    <t>Khe-Sahn</t>
  </si>
  <si>
    <t/>
  </si>
  <si>
    <t>Forming</t>
  </si>
  <si>
    <t>2281</t>
  </si>
  <si>
    <t>Forehearth Specialist</t>
  </si>
  <si>
    <t>10000755</t>
  </si>
  <si>
    <t>Jensen-Jones</t>
  </si>
  <si>
    <t>Hywel</t>
  </si>
  <si>
    <t>Hayes , Colin</t>
  </si>
  <si>
    <t>Machine Maintenance</t>
  </si>
  <si>
    <t>Auckland - GPNZ - Wages</t>
  </si>
  <si>
    <t>AE</t>
  </si>
  <si>
    <t>2203</t>
  </si>
  <si>
    <t>Machine Maintenance Fitter</t>
  </si>
  <si>
    <t>10000756</t>
  </si>
  <si>
    <t>Salima</t>
  </si>
  <si>
    <t>Alexander</t>
  </si>
  <si>
    <t>Mafi , Kalisito</t>
  </si>
  <si>
    <t>Finished Products C Shift</t>
  </si>
  <si>
    <t>50002013</t>
  </si>
  <si>
    <t>Multi-Skilled Operator Trainee</t>
  </si>
  <si>
    <t>3560</t>
  </si>
  <si>
    <t>Perri</t>
  </si>
  <si>
    <t>David</t>
  </si>
  <si>
    <t>Katyal , Sanchit</t>
  </si>
  <si>
    <t>Regional Procurement</t>
  </si>
  <si>
    <t>Hawthorn AUS BU</t>
  </si>
  <si>
    <t>50007759</t>
  </si>
  <si>
    <t>Procurement Manager - Logistics</t>
  </si>
  <si>
    <t>October</t>
  </si>
  <si>
    <t>3561</t>
  </si>
  <si>
    <t>Van Den Berg</t>
  </si>
  <si>
    <t>Steffen</t>
  </si>
  <si>
    <t>Armstrong , Maria</t>
  </si>
  <si>
    <t>ANZ Planning</t>
  </si>
  <si>
    <t>50007761</t>
  </si>
  <si>
    <t>Senior Supply Planner</t>
  </si>
  <si>
    <t>3562</t>
  </si>
  <si>
    <t>Bender</t>
  </si>
  <si>
    <t>Gary</t>
  </si>
  <si>
    <t>Prickett , Gary</t>
  </si>
  <si>
    <t>Plant Maintenance</t>
  </si>
  <si>
    <t>QLD - GPA - Wages</t>
  </si>
  <si>
    <t>Wages Metals</t>
  </si>
  <si>
    <t>8</t>
  </si>
  <si>
    <t>50007799</t>
  </si>
  <si>
    <t>Fitter</t>
  </si>
  <si>
    <t>3564</t>
  </si>
  <si>
    <t>Cagney</t>
  </si>
  <si>
    <t>Eddie</t>
  </si>
  <si>
    <t>Behling , Eike</t>
  </si>
  <si>
    <t>Regional Engineering</t>
  </si>
  <si>
    <t>07</t>
  </si>
  <si>
    <t>50007801</t>
  </si>
  <si>
    <t>Electrical Engineering Designer</t>
  </si>
  <si>
    <t>3565</t>
  </si>
  <si>
    <t>Hepponstall</t>
  </si>
  <si>
    <t>Malcolm</t>
  </si>
  <si>
    <t>Havales , Tina</t>
  </si>
  <si>
    <t>Shared Services</t>
  </si>
  <si>
    <t>50007177</t>
  </si>
  <si>
    <t>Shared Services Manager</t>
  </si>
  <si>
    <t>3566</t>
  </si>
  <si>
    <t>Watson</t>
  </si>
  <si>
    <t>Karen</t>
  </si>
  <si>
    <t>Milton , Kylie</t>
  </si>
  <si>
    <t>Human Resources Brisbane</t>
  </si>
  <si>
    <t>50007815</t>
  </si>
  <si>
    <t>Plant Administration Officer</t>
  </si>
  <si>
    <t>3567</t>
  </si>
  <si>
    <t>Cameron</t>
  </si>
  <si>
    <t>Jane</t>
  </si>
  <si>
    <t>Hobson , Kate</t>
  </si>
  <si>
    <t>Strategy &amp; Integration</t>
  </si>
  <si>
    <t>Strategy and Integration O-I AP</t>
  </si>
  <si>
    <t>50007813</t>
  </si>
  <si>
    <t>Internal Communications Consultant</t>
  </si>
  <si>
    <t>3568</t>
  </si>
  <si>
    <t>Marsiglia Gonzalez</t>
  </si>
  <si>
    <t>Carmel</t>
  </si>
  <si>
    <t>Parmee , Stephen</t>
  </si>
  <si>
    <t>O-I Brisbane Plant</t>
  </si>
  <si>
    <t>50007814</t>
  </si>
  <si>
    <t>Line Leader (FMU)</t>
  </si>
  <si>
    <t>3569</t>
  </si>
  <si>
    <t>Zulovic</t>
  </si>
  <si>
    <t>Amel</t>
  </si>
  <si>
    <t>Melhem , Toni</t>
  </si>
  <si>
    <t>Shift D</t>
  </si>
  <si>
    <t>VIC - GPA - Wages</t>
  </si>
  <si>
    <t>Melbourne</t>
  </si>
  <si>
    <t>50007818</t>
  </si>
  <si>
    <t>Multi Skilled Operator</t>
  </si>
  <si>
    <t>3570</t>
  </si>
  <si>
    <t>Van Schalkwyk</t>
  </si>
  <si>
    <t>Carel</t>
  </si>
  <si>
    <t>Nagelkerke , Wim</t>
  </si>
  <si>
    <t>50007822</t>
  </si>
  <si>
    <t>3571</t>
  </si>
  <si>
    <t>Mack</t>
  </si>
  <si>
    <t>Hill , Anthony</t>
  </si>
  <si>
    <t>Unit Plant QG12</t>
  </si>
  <si>
    <t>Glass Average</t>
  </si>
  <si>
    <t>1</t>
  </si>
  <si>
    <t>1964</t>
  </si>
  <si>
    <t>3572</t>
  </si>
  <si>
    <t>Seach</t>
  </si>
  <si>
    <t>Todd</t>
  </si>
  <si>
    <t>Tushuizen , Adam</t>
  </si>
  <si>
    <t>Pack Centre</t>
  </si>
  <si>
    <t>50007824</t>
  </si>
  <si>
    <t>Pack Centre Operator</t>
  </si>
  <si>
    <t>3573</t>
  </si>
  <si>
    <t>Smith</t>
  </si>
  <si>
    <t>Brendan</t>
  </si>
  <si>
    <t>Druzic , Damir</t>
  </si>
  <si>
    <t>Electrical Maintenance</t>
  </si>
  <si>
    <t>6</t>
  </si>
  <si>
    <t>50005066</t>
  </si>
  <si>
    <t>Electrician</t>
  </si>
  <si>
    <t>3574</t>
  </si>
  <si>
    <t>Martignago</t>
  </si>
  <si>
    <t>Jarrod</t>
  </si>
  <si>
    <t>ANZ Logistics</t>
  </si>
  <si>
    <t>50007823</t>
  </si>
  <si>
    <t>Distribution Requirements Planner</t>
  </si>
  <si>
    <t>3575</t>
  </si>
  <si>
    <t>Rout</t>
  </si>
  <si>
    <t>Sibasish</t>
  </si>
  <si>
    <t>Tatlis , Angela</t>
  </si>
  <si>
    <t>50007816</t>
  </si>
  <si>
    <t>Data Analytics Programmer</t>
  </si>
  <si>
    <t>3576</t>
  </si>
  <si>
    <t>Van Den Hil</t>
  </si>
  <si>
    <t>Wim</t>
  </si>
  <si>
    <t>O'Driscoll , Paul</t>
  </si>
  <si>
    <t>Occupational Health &amp; Safety</t>
  </si>
  <si>
    <t>50007252</t>
  </si>
  <si>
    <t>Environmental Health &amp; Safety Manager</t>
  </si>
  <si>
    <t>3577</t>
  </si>
  <si>
    <t>Thompson</t>
  </si>
  <si>
    <t>Steven</t>
  </si>
  <si>
    <t>Sharland , Dean</t>
  </si>
  <si>
    <t>50007797</t>
  </si>
  <si>
    <t>Plant Reliability Manager</t>
  </si>
  <si>
    <t>3578</t>
  </si>
  <si>
    <t>Robson</t>
  </si>
  <si>
    <t>Timothy</t>
  </si>
  <si>
    <t>50007825</t>
  </si>
  <si>
    <t>Demand Planner</t>
  </si>
  <si>
    <t>3580</t>
  </si>
  <si>
    <t>Upstill</t>
  </si>
  <si>
    <t>Simon</t>
  </si>
  <si>
    <t>50007821</t>
  </si>
  <si>
    <t>Key Account Supply Manager</t>
  </si>
  <si>
    <t>3581</t>
  </si>
  <si>
    <t>O'Brien</t>
  </si>
  <si>
    <t>Gregory</t>
  </si>
  <si>
    <t>1911</t>
  </si>
  <si>
    <t>3582</t>
  </si>
  <si>
    <t>Ali</t>
  </si>
  <si>
    <t>Khalid</t>
  </si>
  <si>
    <t>Rosamilia , Vito</t>
  </si>
  <si>
    <t>Contractor Full Time</t>
  </si>
  <si>
    <t>50007856</t>
  </si>
  <si>
    <t>Business Analyst</t>
  </si>
  <si>
    <t>10000758</t>
  </si>
  <si>
    <t>Leigh</t>
  </si>
  <si>
    <t>Kathryn</t>
  </si>
  <si>
    <t>Muirhead , Roz</t>
  </si>
  <si>
    <t>Casual</t>
  </si>
  <si>
    <t>Wages Other</t>
  </si>
  <si>
    <t>2252</t>
  </si>
  <si>
    <t>Casual Administrator</t>
  </si>
  <si>
    <t>10000759</t>
  </si>
  <si>
    <t>Byford</t>
  </si>
  <si>
    <t>Nikola</t>
  </si>
  <si>
    <t>Clarke , Gaine</t>
  </si>
  <si>
    <t>2231</t>
  </si>
  <si>
    <t>Plant Controller</t>
  </si>
  <si>
    <t>10000760</t>
  </si>
  <si>
    <t>Running</t>
  </si>
  <si>
    <t>Brendon</t>
  </si>
  <si>
    <t>Sinnema , Bayard</t>
  </si>
  <si>
    <t>Commercial</t>
  </si>
  <si>
    <t>Sales - Wine, Food and Distributors</t>
  </si>
  <si>
    <t>50003154</t>
  </si>
  <si>
    <t>Account Manager</t>
  </si>
  <si>
    <t>10000762</t>
  </si>
  <si>
    <t>Ihaka</t>
  </si>
  <si>
    <t>Jake</t>
  </si>
  <si>
    <t>Smith , Phillip</t>
  </si>
  <si>
    <t>Finished Products B Shift</t>
  </si>
  <si>
    <t>FP</t>
  </si>
  <si>
    <t>50002551</t>
  </si>
  <si>
    <t>Glass Technician/MSO Trainee</t>
  </si>
  <si>
    <t>3579</t>
  </si>
  <si>
    <t>Doherty</t>
  </si>
  <si>
    <t>Sean</t>
  </si>
  <si>
    <t>King , Jack</t>
  </si>
  <si>
    <t>C Shift</t>
  </si>
  <si>
    <t>SA - GPA - Staff</t>
  </si>
  <si>
    <t>Adelaide Day</t>
  </si>
  <si>
    <t>50007800</t>
  </si>
  <si>
    <t>Shift Manager</t>
  </si>
  <si>
    <t>Hire Employee</t>
  </si>
  <si>
    <t>ADE AD50 MachineLine</t>
  </si>
  <si>
    <t>November</t>
  </si>
  <si>
    <t>3583</t>
  </si>
  <si>
    <t>Hope</t>
  </si>
  <si>
    <t>Anthony</t>
  </si>
  <si>
    <t>EH&amp;S Brisbane</t>
  </si>
  <si>
    <t>Brisbane Day</t>
  </si>
  <si>
    <t>50004952</t>
  </si>
  <si>
    <t>EH&amp;S Manager</t>
  </si>
  <si>
    <t>BNE Integrated Syste</t>
  </si>
  <si>
    <t>3585</t>
  </si>
  <si>
    <t>Zhang</t>
  </si>
  <si>
    <t>Yiwen</t>
  </si>
  <si>
    <t>Cayetano-Gregorio , Belle</t>
  </si>
  <si>
    <t>Accounts Payable</t>
  </si>
  <si>
    <t>50007509</t>
  </si>
  <si>
    <t>Accounts Payable Officer</t>
  </si>
  <si>
    <t>OI Shared Services</t>
  </si>
  <si>
    <t>3586</t>
  </si>
  <si>
    <t>Richards</t>
  </si>
  <si>
    <t>Matthew</t>
  </si>
  <si>
    <t>Unit Plant QG3</t>
  </si>
  <si>
    <t>Brisbane Shift</t>
  </si>
  <si>
    <t>50000629</t>
  </si>
  <si>
    <t>Shift Manager D</t>
  </si>
  <si>
    <t>3587</t>
  </si>
  <si>
    <t>Fisher</t>
  </si>
  <si>
    <t>Van Den Hil , Wim</t>
  </si>
  <si>
    <t>Melbourne Day</t>
  </si>
  <si>
    <t>50007261</t>
  </si>
  <si>
    <t>Environmental Health &amp;Safety Coordinator</t>
  </si>
  <si>
    <t>MEL Manufacturing</t>
  </si>
  <si>
    <t>December</t>
  </si>
  <si>
    <t>3588</t>
  </si>
  <si>
    <t>Archdeacon</t>
  </si>
  <si>
    <t>Michael</t>
  </si>
  <si>
    <t>ANZ Finance</t>
  </si>
  <si>
    <t>12</t>
  </si>
  <si>
    <t>50007866</t>
  </si>
  <si>
    <t>ANZ Finance Director</t>
  </si>
  <si>
    <t>GPA General Manager</t>
  </si>
  <si>
    <t>3589</t>
  </si>
  <si>
    <t>Gupta</t>
  </si>
  <si>
    <t>Manish</t>
  </si>
  <si>
    <t>Ibrahim , Goksel</t>
  </si>
  <si>
    <t>Shift C</t>
  </si>
  <si>
    <t>Melbourne Shift</t>
  </si>
  <si>
    <t>50007503</t>
  </si>
  <si>
    <t>General Plant Operator</t>
  </si>
  <si>
    <t>MEL Pack</t>
  </si>
  <si>
    <t>3591</t>
  </si>
  <si>
    <t>Rivera Martinez</t>
  </si>
  <si>
    <t>Alexandra</t>
  </si>
  <si>
    <t>Sufra , John</t>
  </si>
  <si>
    <t>50007882</t>
  </si>
  <si>
    <t>Project Administrator</t>
  </si>
  <si>
    <t>GOSC Fac Adv 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</si>
</sst>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1EB1B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2" borderId="1" xfId="0" applyNumberFormat="1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vertical="top"/>
    </xf>
    <xf numFmtId="0" fontId="1" fillId="3" borderId="0" xfId="0" applyFont="1" applyFill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B4FF-25D9-49BB-A1CA-9ADB26E23D60}">
  <dimension ref="A1:X50"/>
  <sheetViews>
    <sheetView tabSelected="1" topLeftCell="A28" workbookViewId="0">
      <selection activeCell="G61" sqref="G61"/>
    </sheetView>
  </sheetViews>
  <sheetFormatPr defaultColWidth="8.85546875" defaultRowHeight="12.75" x14ac:dyDescent="0.2"/>
  <cols>
    <col min="1" max="1" width="10.28515625" style="8" bestFit="1" customWidth="1"/>
    <col min="2" max="2" width="17" style="8" bestFit="1" customWidth="1"/>
    <col min="3" max="3" width="12.140625" style="8" bestFit="1" customWidth="1"/>
    <col min="4" max="4" width="11.28515625" style="8" bestFit="1" customWidth="1"/>
    <col min="5" max="5" width="13.140625" style="8" bestFit="1" customWidth="1"/>
    <col min="6" max="6" width="22.28515625" style="8" bestFit="1" customWidth="1"/>
    <col min="7" max="7" width="25.140625" style="8" bestFit="1" customWidth="1"/>
    <col min="8" max="8" width="34.42578125" style="8" bestFit="1" customWidth="1"/>
    <col min="9" max="9" width="23.42578125" style="8" bestFit="1" customWidth="1"/>
    <col min="10" max="10" width="19.140625" style="8" bestFit="1" customWidth="1"/>
    <col min="11" max="11" width="18" style="8" bestFit="1" customWidth="1"/>
    <col min="12" max="12" width="20.28515625" style="8" bestFit="1" customWidth="1"/>
    <col min="13" max="13" width="5" style="8" bestFit="1" customWidth="1"/>
    <col min="14" max="14" width="10.140625" style="14" bestFit="1" customWidth="1"/>
    <col min="15" max="15" width="10.42578125" style="8" bestFit="1" customWidth="1"/>
    <col min="16" max="16" width="10" style="8" bestFit="1" customWidth="1"/>
    <col min="17" max="17" width="34.7109375" style="8" bestFit="1" customWidth="1"/>
    <col min="18" max="18" width="34.7109375" style="8" customWidth="1"/>
    <col min="19" max="19" width="20" style="8" bestFit="1" customWidth="1"/>
    <col min="20" max="23" width="34.7109375" style="8" customWidth="1"/>
    <col min="24" max="24" width="10" style="8" bestFit="1" customWidth="1"/>
    <col min="25" max="16384" width="8.85546875" style="8"/>
  </cols>
  <sheetData>
    <row r="1" spans="1:24" ht="25.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15</v>
      </c>
      <c r="R1" s="1" t="s">
        <v>16</v>
      </c>
      <c r="S1" s="1" t="s">
        <v>17</v>
      </c>
      <c r="T1" s="4" t="s">
        <v>18</v>
      </c>
      <c r="U1" s="4" t="s">
        <v>19</v>
      </c>
      <c r="V1" s="5" t="s">
        <v>20</v>
      </c>
      <c r="W1" s="6" t="s">
        <v>21</v>
      </c>
      <c r="X1" s="7" t="s">
        <v>22</v>
      </c>
    </row>
    <row r="2" spans="1:24" x14ac:dyDescent="0.2">
      <c r="A2" s="8" t="s">
        <v>23</v>
      </c>
      <c r="B2" s="8" t="s">
        <v>24</v>
      </c>
      <c r="C2" s="8" t="s">
        <v>25</v>
      </c>
      <c r="D2" s="9">
        <v>52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30</v>
      </c>
      <c r="J2" s="8" t="s">
        <v>31</v>
      </c>
      <c r="K2" s="8" t="s">
        <v>32</v>
      </c>
      <c r="L2" s="8" t="s">
        <v>33</v>
      </c>
      <c r="M2" s="8" t="s">
        <v>34</v>
      </c>
      <c r="N2" s="10">
        <v>42982</v>
      </c>
      <c r="O2" s="11">
        <v>100</v>
      </c>
      <c r="P2" s="8" t="s">
        <v>35</v>
      </c>
      <c r="Q2" s="8" t="s">
        <v>36</v>
      </c>
      <c r="V2" s="12"/>
      <c r="W2" s="12"/>
      <c r="X2" s="7" t="s">
        <v>37</v>
      </c>
    </row>
    <row r="3" spans="1:24" x14ac:dyDescent="0.2">
      <c r="A3" s="8" t="s">
        <v>38</v>
      </c>
      <c r="B3" s="8" t="s">
        <v>39</v>
      </c>
      <c r="C3" s="8" t="s">
        <v>40</v>
      </c>
      <c r="D3" s="9">
        <v>47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30</v>
      </c>
      <c r="J3" s="8" t="s">
        <v>31</v>
      </c>
      <c r="K3" s="8" t="s">
        <v>32</v>
      </c>
      <c r="L3" s="8" t="s">
        <v>33</v>
      </c>
      <c r="M3" s="8" t="s">
        <v>34</v>
      </c>
      <c r="N3" s="10">
        <v>42982</v>
      </c>
      <c r="O3" s="11">
        <v>100</v>
      </c>
      <c r="P3" s="8" t="s">
        <v>41</v>
      </c>
      <c r="Q3" s="8" t="s">
        <v>42</v>
      </c>
      <c r="V3" s="12"/>
      <c r="W3" s="12"/>
      <c r="X3" s="7" t="s">
        <v>37</v>
      </c>
    </row>
    <row r="4" spans="1:24" x14ac:dyDescent="0.2">
      <c r="A4" s="8" t="s">
        <v>43</v>
      </c>
      <c r="B4" s="8" t="s">
        <v>44</v>
      </c>
      <c r="C4" s="8" t="s">
        <v>45</v>
      </c>
      <c r="D4" s="9">
        <v>47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13" t="s">
        <v>51</v>
      </c>
      <c r="K4" s="8" t="s">
        <v>32</v>
      </c>
      <c r="L4" s="8" t="s">
        <v>33</v>
      </c>
      <c r="M4" s="8" t="s">
        <v>52</v>
      </c>
      <c r="N4" s="10">
        <v>42982</v>
      </c>
      <c r="O4" s="11">
        <v>100</v>
      </c>
      <c r="P4" s="8" t="s">
        <v>53</v>
      </c>
      <c r="Q4" s="8" t="s">
        <v>54</v>
      </c>
      <c r="V4" s="12"/>
      <c r="W4" s="12"/>
      <c r="X4" s="7" t="s">
        <v>37</v>
      </c>
    </row>
    <row r="5" spans="1:24" x14ac:dyDescent="0.2">
      <c r="A5" s="8" t="s">
        <v>55</v>
      </c>
      <c r="B5" s="8" t="s">
        <v>56</v>
      </c>
      <c r="C5" s="8" t="s">
        <v>57</v>
      </c>
      <c r="D5" s="9">
        <v>30</v>
      </c>
      <c r="E5" s="8" t="s">
        <v>46</v>
      </c>
      <c r="F5" s="8" t="s">
        <v>27</v>
      </c>
      <c r="G5" s="8" t="s">
        <v>28</v>
      </c>
      <c r="H5" s="8" t="s">
        <v>29</v>
      </c>
      <c r="I5" s="8" t="s">
        <v>30</v>
      </c>
      <c r="J5" s="8" t="s">
        <v>31</v>
      </c>
      <c r="K5" s="8" t="s">
        <v>32</v>
      </c>
      <c r="L5" s="8" t="s">
        <v>33</v>
      </c>
      <c r="M5" s="8" t="s">
        <v>34</v>
      </c>
      <c r="N5" s="10">
        <v>42989</v>
      </c>
      <c r="O5" s="11">
        <v>100</v>
      </c>
      <c r="P5" s="8" t="s">
        <v>58</v>
      </c>
      <c r="Q5" s="8" t="s">
        <v>42</v>
      </c>
      <c r="V5" s="12"/>
      <c r="W5" s="12"/>
      <c r="X5" s="7" t="s">
        <v>37</v>
      </c>
    </row>
    <row r="6" spans="1:24" x14ac:dyDescent="0.2">
      <c r="A6" s="8" t="s">
        <v>59</v>
      </c>
      <c r="B6" s="8" t="s">
        <v>60</v>
      </c>
      <c r="C6" s="8" t="s">
        <v>61</v>
      </c>
      <c r="D6" s="9">
        <v>47</v>
      </c>
      <c r="E6" s="8" t="s">
        <v>26</v>
      </c>
      <c r="F6" s="8" t="s">
        <v>62</v>
      </c>
      <c r="G6" s="8" t="s">
        <v>63</v>
      </c>
      <c r="H6" s="8" t="s">
        <v>64</v>
      </c>
      <c r="I6" s="8" t="s">
        <v>30</v>
      </c>
      <c r="J6" s="8" t="s">
        <v>31</v>
      </c>
      <c r="K6" s="8" t="s">
        <v>32</v>
      </c>
      <c r="L6" s="8" t="s">
        <v>33</v>
      </c>
      <c r="M6" s="8" t="s">
        <v>65</v>
      </c>
      <c r="N6" s="10">
        <v>42986</v>
      </c>
      <c r="O6" s="11">
        <v>100</v>
      </c>
      <c r="P6" s="8" t="s">
        <v>66</v>
      </c>
      <c r="Q6" s="8" t="s">
        <v>67</v>
      </c>
      <c r="V6" s="12"/>
      <c r="W6" s="12"/>
      <c r="X6" s="7" t="s">
        <v>37</v>
      </c>
    </row>
    <row r="7" spans="1:24" x14ac:dyDescent="0.2">
      <c r="A7" s="8" t="s">
        <v>68</v>
      </c>
      <c r="B7" s="8" t="s">
        <v>69</v>
      </c>
      <c r="C7" s="8" t="s">
        <v>70</v>
      </c>
      <c r="D7" s="9">
        <v>47</v>
      </c>
      <c r="E7" s="8" t="s">
        <v>26</v>
      </c>
      <c r="F7" s="8" t="s">
        <v>71</v>
      </c>
      <c r="G7" s="8" t="s">
        <v>28</v>
      </c>
      <c r="H7" s="8" t="s">
        <v>72</v>
      </c>
      <c r="I7" s="8" t="s">
        <v>30</v>
      </c>
      <c r="J7" s="8" t="s">
        <v>31</v>
      </c>
      <c r="K7" s="8" t="s">
        <v>73</v>
      </c>
      <c r="L7" s="8" t="s">
        <v>33</v>
      </c>
      <c r="M7" s="8" t="s">
        <v>34</v>
      </c>
      <c r="N7" s="10">
        <v>42982</v>
      </c>
      <c r="O7" s="11">
        <v>67.5</v>
      </c>
      <c r="P7" s="8" t="s">
        <v>74</v>
      </c>
      <c r="Q7" s="8" t="s">
        <v>75</v>
      </c>
      <c r="V7" s="12"/>
      <c r="W7" s="12"/>
      <c r="X7" s="7" t="s">
        <v>37</v>
      </c>
    </row>
    <row r="8" spans="1:24" x14ac:dyDescent="0.2">
      <c r="A8" s="8" t="s">
        <v>76</v>
      </c>
      <c r="B8" s="8" t="s">
        <v>77</v>
      </c>
      <c r="C8" s="8" t="s">
        <v>78</v>
      </c>
      <c r="D8" s="9">
        <v>27</v>
      </c>
      <c r="E8" s="8" t="s">
        <v>46</v>
      </c>
      <c r="F8" s="8" t="s">
        <v>79</v>
      </c>
      <c r="G8" s="8" t="s">
        <v>80</v>
      </c>
      <c r="H8" s="8" t="s">
        <v>81</v>
      </c>
      <c r="I8" s="8" t="s">
        <v>82</v>
      </c>
      <c r="J8" s="13" t="s">
        <v>83</v>
      </c>
      <c r="K8" s="8" t="s">
        <v>32</v>
      </c>
      <c r="L8" s="8" t="s">
        <v>33</v>
      </c>
      <c r="M8" s="8" t="s">
        <v>84</v>
      </c>
      <c r="N8" s="10">
        <v>42989</v>
      </c>
      <c r="O8" s="11">
        <v>100</v>
      </c>
      <c r="P8" s="8" t="s">
        <v>85</v>
      </c>
      <c r="Q8" s="8" t="s">
        <v>86</v>
      </c>
      <c r="V8" s="12"/>
      <c r="W8" s="12"/>
      <c r="X8" s="7" t="s">
        <v>37</v>
      </c>
    </row>
    <row r="9" spans="1:24" x14ac:dyDescent="0.2">
      <c r="A9" s="8" t="s">
        <v>87</v>
      </c>
      <c r="B9" s="8" t="s">
        <v>88</v>
      </c>
      <c r="C9" s="8" t="s">
        <v>89</v>
      </c>
      <c r="D9" s="9">
        <v>39</v>
      </c>
      <c r="E9" s="8" t="s">
        <v>46</v>
      </c>
      <c r="F9" s="8" t="s">
        <v>90</v>
      </c>
      <c r="G9" s="8" t="s">
        <v>80</v>
      </c>
      <c r="H9" s="8" t="s">
        <v>91</v>
      </c>
      <c r="I9" s="8" t="s">
        <v>92</v>
      </c>
      <c r="J9" s="13" t="s">
        <v>51</v>
      </c>
      <c r="K9" s="8" t="s">
        <v>32</v>
      </c>
      <c r="L9" s="8" t="s">
        <v>93</v>
      </c>
      <c r="M9" s="8" t="s">
        <v>94</v>
      </c>
      <c r="N9" s="10">
        <v>42989</v>
      </c>
      <c r="O9" s="11">
        <v>100</v>
      </c>
      <c r="P9" s="8" t="s">
        <v>95</v>
      </c>
      <c r="Q9" s="8" t="s">
        <v>96</v>
      </c>
      <c r="V9" s="12"/>
      <c r="W9" s="12"/>
      <c r="X9" s="7" t="s">
        <v>37</v>
      </c>
    </row>
    <row r="10" spans="1:24" x14ac:dyDescent="0.2">
      <c r="A10" s="8" t="s">
        <v>97</v>
      </c>
      <c r="B10" s="8" t="s">
        <v>98</v>
      </c>
      <c r="C10" s="8" t="s">
        <v>99</v>
      </c>
      <c r="D10" s="9">
        <v>25</v>
      </c>
      <c r="E10" s="8" t="s">
        <v>46</v>
      </c>
      <c r="F10" s="8" t="s">
        <v>100</v>
      </c>
      <c r="G10" s="8" t="s">
        <v>80</v>
      </c>
      <c r="H10" s="8" t="s">
        <v>101</v>
      </c>
      <c r="I10" s="8" t="s">
        <v>92</v>
      </c>
      <c r="J10" s="13" t="s">
        <v>51</v>
      </c>
      <c r="K10" s="8" t="s">
        <v>32</v>
      </c>
      <c r="L10" s="8" t="s">
        <v>93</v>
      </c>
      <c r="M10" s="8" t="s">
        <v>94</v>
      </c>
      <c r="N10" s="10">
        <v>42996</v>
      </c>
      <c r="O10" s="11">
        <v>100</v>
      </c>
      <c r="P10" s="8" t="s">
        <v>102</v>
      </c>
      <c r="Q10" s="8" t="s">
        <v>103</v>
      </c>
      <c r="V10" s="12"/>
      <c r="W10" s="12"/>
      <c r="X10" s="7" t="s">
        <v>37</v>
      </c>
    </row>
    <row r="11" spans="1:24" x14ac:dyDescent="0.2">
      <c r="A11" s="8" t="s">
        <v>104</v>
      </c>
      <c r="B11" s="8" t="s">
        <v>105</v>
      </c>
      <c r="C11" s="8" t="s">
        <v>106</v>
      </c>
      <c r="D11" s="9">
        <v>44</v>
      </c>
      <c r="E11" s="8" t="s">
        <v>46</v>
      </c>
      <c r="F11" s="8" t="s">
        <v>27</v>
      </c>
      <c r="G11" s="8" t="s">
        <v>28</v>
      </c>
      <c r="H11" s="8" t="s">
        <v>29</v>
      </c>
      <c r="I11" s="8" t="s">
        <v>30</v>
      </c>
      <c r="J11" s="8" t="s">
        <v>31</v>
      </c>
      <c r="K11" s="8" t="s">
        <v>32</v>
      </c>
      <c r="L11" s="8" t="s">
        <v>33</v>
      </c>
      <c r="M11" s="8" t="s">
        <v>34</v>
      </c>
      <c r="N11" s="10">
        <v>42992</v>
      </c>
      <c r="O11" s="11">
        <v>100</v>
      </c>
      <c r="P11" s="8" t="s">
        <v>107</v>
      </c>
      <c r="Q11" s="8" t="s">
        <v>108</v>
      </c>
      <c r="V11" s="12"/>
      <c r="W11" s="12"/>
      <c r="X11" s="7" t="s">
        <v>37</v>
      </c>
    </row>
    <row r="12" spans="1:24" x14ac:dyDescent="0.2">
      <c r="A12" s="8" t="s">
        <v>109</v>
      </c>
      <c r="B12" s="8" t="s">
        <v>110</v>
      </c>
      <c r="C12" s="8" t="s">
        <v>111</v>
      </c>
      <c r="D12" s="9">
        <v>62</v>
      </c>
      <c r="E12" s="8" t="s">
        <v>46</v>
      </c>
      <c r="F12" s="8" t="s">
        <v>112</v>
      </c>
      <c r="G12" s="8" t="s">
        <v>113</v>
      </c>
      <c r="H12" s="8" t="s">
        <v>114</v>
      </c>
      <c r="I12" s="8" t="s">
        <v>82</v>
      </c>
      <c r="J12" s="13" t="s">
        <v>83</v>
      </c>
      <c r="K12" s="8" t="s">
        <v>32</v>
      </c>
      <c r="L12" s="8" t="s">
        <v>115</v>
      </c>
      <c r="M12" s="8" t="s">
        <v>116</v>
      </c>
      <c r="N12" s="10">
        <v>42996</v>
      </c>
      <c r="O12" s="11">
        <v>100</v>
      </c>
      <c r="P12" s="8" t="s">
        <v>117</v>
      </c>
      <c r="Q12" s="8" t="s">
        <v>118</v>
      </c>
      <c r="V12" s="12"/>
      <c r="W12" s="12"/>
      <c r="X12" s="7" t="s">
        <v>37</v>
      </c>
    </row>
    <row r="13" spans="1:24" x14ac:dyDescent="0.2">
      <c r="A13" s="8" t="s">
        <v>119</v>
      </c>
      <c r="B13" s="8" t="s">
        <v>120</v>
      </c>
      <c r="C13" s="8" t="s">
        <v>121</v>
      </c>
      <c r="D13" s="9">
        <v>38</v>
      </c>
      <c r="E13" s="8" t="s">
        <v>26</v>
      </c>
      <c r="F13" s="8" t="s">
        <v>122</v>
      </c>
      <c r="G13" s="8" t="s">
        <v>123</v>
      </c>
      <c r="H13" s="8" t="s">
        <v>64</v>
      </c>
      <c r="I13" s="8" t="s">
        <v>30</v>
      </c>
      <c r="J13" s="8" t="s">
        <v>31</v>
      </c>
      <c r="K13" s="8" t="s">
        <v>32</v>
      </c>
      <c r="L13" s="8" t="s">
        <v>33</v>
      </c>
      <c r="M13" s="8" t="s">
        <v>124</v>
      </c>
      <c r="N13" s="10">
        <v>42996</v>
      </c>
      <c r="O13" s="11">
        <v>100</v>
      </c>
      <c r="P13" s="8" t="s">
        <v>125</v>
      </c>
      <c r="Q13" s="8" t="s">
        <v>126</v>
      </c>
      <c r="V13" s="12"/>
      <c r="W13" s="12"/>
      <c r="X13" s="7" t="s">
        <v>37</v>
      </c>
    </row>
    <row r="14" spans="1:24" x14ac:dyDescent="0.2">
      <c r="A14" s="8" t="s">
        <v>127</v>
      </c>
      <c r="B14" s="8" t="s">
        <v>128</v>
      </c>
      <c r="C14" s="8" t="s">
        <v>129</v>
      </c>
      <c r="D14" s="9">
        <v>40</v>
      </c>
      <c r="E14" s="8" t="s">
        <v>26</v>
      </c>
      <c r="F14" s="8" t="s">
        <v>130</v>
      </c>
      <c r="G14" s="8" t="s">
        <v>123</v>
      </c>
      <c r="H14" s="8" t="s">
        <v>131</v>
      </c>
      <c r="I14" s="8" t="s">
        <v>132</v>
      </c>
      <c r="J14" s="13" t="s">
        <v>133</v>
      </c>
      <c r="K14" s="8" t="s">
        <v>32</v>
      </c>
      <c r="L14" s="8" t="s">
        <v>33</v>
      </c>
      <c r="M14" s="8" t="s">
        <v>65</v>
      </c>
      <c r="N14" s="10">
        <v>42982</v>
      </c>
      <c r="O14" s="11">
        <v>100</v>
      </c>
      <c r="P14" s="8" t="s">
        <v>134</v>
      </c>
      <c r="Q14" s="8" t="s">
        <v>135</v>
      </c>
      <c r="V14" s="12"/>
      <c r="W14" s="12"/>
      <c r="X14" s="7" t="s">
        <v>37</v>
      </c>
    </row>
    <row r="15" spans="1:24" x14ac:dyDescent="0.2">
      <c r="A15" s="8" t="s">
        <v>136</v>
      </c>
      <c r="B15" s="8" t="s">
        <v>137</v>
      </c>
      <c r="C15" s="8" t="s">
        <v>138</v>
      </c>
      <c r="D15" s="9">
        <v>24</v>
      </c>
      <c r="E15" s="8" t="s">
        <v>46</v>
      </c>
      <c r="F15" s="8" t="s">
        <v>139</v>
      </c>
      <c r="G15" s="8" t="s">
        <v>80</v>
      </c>
      <c r="H15" s="8" t="s">
        <v>140</v>
      </c>
      <c r="I15" s="8" t="s">
        <v>132</v>
      </c>
      <c r="J15" s="13" t="s">
        <v>133</v>
      </c>
      <c r="K15" s="8" t="s">
        <v>32</v>
      </c>
      <c r="L15" s="8" t="s">
        <v>33</v>
      </c>
      <c r="M15" s="8" t="s">
        <v>124</v>
      </c>
      <c r="N15" s="10">
        <v>42989</v>
      </c>
      <c r="O15" s="11">
        <v>100</v>
      </c>
      <c r="P15" s="8" t="s">
        <v>141</v>
      </c>
      <c r="Q15" s="8" t="s">
        <v>142</v>
      </c>
      <c r="V15" s="12"/>
      <c r="W15" s="12"/>
      <c r="X15" s="7" t="s">
        <v>37</v>
      </c>
    </row>
    <row r="16" spans="1:24" x14ac:dyDescent="0.2">
      <c r="A16" s="8" t="s">
        <v>143</v>
      </c>
      <c r="B16" s="8" t="s">
        <v>144</v>
      </c>
      <c r="C16" s="8" t="s">
        <v>145</v>
      </c>
      <c r="D16" s="9">
        <v>25</v>
      </c>
      <c r="E16" s="8" t="s">
        <v>46</v>
      </c>
      <c r="F16" s="8" t="s">
        <v>146</v>
      </c>
      <c r="G16" s="8" t="s">
        <v>80</v>
      </c>
      <c r="H16" s="8" t="s">
        <v>147</v>
      </c>
      <c r="I16" s="8" t="s">
        <v>148</v>
      </c>
      <c r="J16" s="13" t="s">
        <v>133</v>
      </c>
      <c r="K16" s="8" t="s">
        <v>32</v>
      </c>
      <c r="L16" s="8" t="s">
        <v>93</v>
      </c>
      <c r="M16" s="8" t="s">
        <v>149</v>
      </c>
      <c r="N16" s="10">
        <v>42989</v>
      </c>
      <c r="O16" s="11">
        <v>100</v>
      </c>
      <c r="P16" s="8" t="s">
        <v>150</v>
      </c>
      <c r="Q16" s="8" t="s">
        <v>151</v>
      </c>
      <c r="V16" s="12"/>
      <c r="W16" s="12"/>
      <c r="X16" s="7" t="s">
        <v>37</v>
      </c>
    </row>
    <row r="17" spans="1:24" x14ac:dyDescent="0.2">
      <c r="A17" s="8" t="s">
        <v>152</v>
      </c>
      <c r="B17" s="8" t="s">
        <v>153</v>
      </c>
      <c r="C17" s="8" t="s">
        <v>154</v>
      </c>
      <c r="D17" s="9">
        <v>30</v>
      </c>
      <c r="E17" s="8" t="s">
        <v>46</v>
      </c>
      <c r="F17" s="8" t="s">
        <v>155</v>
      </c>
      <c r="G17" s="8" t="s">
        <v>80</v>
      </c>
      <c r="H17" s="8" t="s">
        <v>156</v>
      </c>
      <c r="I17" s="8" t="s">
        <v>148</v>
      </c>
      <c r="J17" s="13" t="s">
        <v>133</v>
      </c>
      <c r="K17" s="8" t="s">
        <v>32</v>
      </c>
      <c r="L17" s="8" t="s">
        <v>93</v>
      </c>
      <c r="M17" s="8" t="s">
        <v>139</v>
      </c>
      <c r="N17" s="10">
        <v>42996</v>
      </c>
      <c r="O17" s="11">
        <v>100</v>
      </c>
      <c r="P17" s="8" t="s">
        <v>157</v>
      </c>
      <c r="Q17" s="8" t="s">
        <v>158</v>
      </c>
      <c r="V17" s="12"/>
      <c r="W17" s="12"/>
      <c r="X17" s="7" t="s">
        <v>37</v>
      </c>
    </row>
    <row r="18" spans="1:24" x14ac:dyDescent="0.2">
      <c r="A18" s="8" t="s">
        <v>159</v>
      </c>
      <c r="B18" s="8" t="s">
        <v>160</v>
      </c>
      <c r="C18" s="8" t="s">
        <v>161</v>
      </c>
      <c r="D18" s="9">
        <v>39</v>
      </c>
      <c r="E18" s="8" t="s">
        <v>46</v>
      </c>
      <c r="F18" s="8" t="s">
        <v>162</v>
      </c>
      <c r="G18" s="8" t="s">
        <v>113</v>
      </c>
      <c r="H18" s="8" t="s">
        <v>163</v>
      </c>
      <c r="I18" s="8" t="s">
        <v>30</v>
      </c>
      <c r="J18" s="8" t="s">
        <v>164</v>
      </c>
      <c r="K18" s="8" t="s">
        <v>32</v>
      </c>
      <c r="L18" s="8" t="s">
        <v>33</v>
      </c>
      <c r="M18" s="8" t="s">
        <v>124</v>
      </c>
      <c r="N18" s="10">
        <v>43010</v>
      </c>
      <c r="O18" s="11">
        <v>100</v>
      </c>
      <c r="P18" s="8" t="s">
        <v>165</v>
      </c>
      <c r="Q18" s="8" t="s">
        <v>166</v>
      </c>
      <c r="V18" s="12"/>
      <c r="W18" s="12"/>
      <c r="X18" s="7" t="s">
        <v>167</v>
      </c>
    </row>
    <row r="19" spans="1:24" x14ac:dyDescent="0.2">
      <c r="A19" s="8" t="s">
        <v>168</v>
      </c>
      <c r="B19" s="8" t="s">
        <v>169</v>
      </c>
      <c r="C19" s="8" t="s">
        <v>170</v>
      </c>
      <c r="D19" s="9">
        <v>48</v>
      </c>
      <c r="E19" s="8" t="s">
        <v>46</v>
      </c>
      <c r="F19" s="8" t="s">
        <v>171</v>
      </c>
      <c r="G19" s="8" t="s">
        <v>113</v>
      </c>
      <c r="H19" s="8" t="s">
        <v>172</v>
      </c>
      <c r="I19" s="8" t="s">
        <v>30</v>
      </c>
      <c r="J19" s="8" t="s">
        <v>164</v>
      </c>
      <c r="K19" s="8" t="s">
        <v>32</v>
      </c>
      <c r="L19" s="8" t="s">
        <v>115</v>
      </c>
      <c r="M19" s="8" t="s">
        <v>124</v>
      </c>
      <c r="N19" s="10">
        <v>43017</v>
      </c>
      <c r="O19" s="11">
        <v>100</v>
      </c>
      <c r="P19" s="8" t="s">
        <v>173</v>
      </c>
      <c r="Q19" s="8" t="s">
        <v>174</v>
      </c>
      <c r="V19" s="12"/>
      <c r="W19" s="12"/>
      <c r="X19" s="7" t="s">
        <v>167</v>
      </c>
    </row>
    <row r="20" spans="1:24" x14ac:dyDescent="0.2">
      <c r="A20" s="8" t="s">
        <v>175</v>
      </c>
      <c r="B20" s="8" t="s">
        <v>176</v>
      </c>
      <c r="C20" s="8" t="s">
        <v>177</v>
      </c>
      <c r="D20" s="9">
        <v>53</v>
      </c>
      <c r="E20" s="8" t="s">
        <v>46</v>
      </c>
      <c r="F20" s="8" t="s">
        <v>178</v>
      </c>
      <c r="G20" s="8" t="s">
        <v>80</v>
      </c>
      <c r="H20" s="8" t="s">
        <v>179</v>
      </c>
      <c r="I20" s="8" t="s">
        <v>180</v>
      </c>
      <c r="J20" s="13" t="s">
        <v>83</v>
      </c>
      <c r="K20" s="8" t="s">
        <v>32</v>
      </c>
      <c r="L20" s="8" t="s">
        <v>181</v>
      </c>
      <c r="M20" s="8" t="s">
        <v>182</v>
      </c>
      <c r="N20" s="10">
        <v>43011</v>
      </c>
      <c r="O20" s="11">
        <v>100</v>
      </c>
      <c r="P20" s="8" t="s">
        <v>183</v>
      </c>
      <c r="Q20" s="8" t="s">
        <v>184</v>
      </c>
      <c r="V20" s="12"/>
      <c r="W20" s="12"/>
      <c r="X20" s="7" t="s">
        <v>167</v>
      </c>
    </row>
    <row r="21" spans="1:24" x14ac:dyDescent="0.2">
      <c r="A21" s="8" t="s">
        <v>185</v>
      </c>
      <c r="B21" s="8" t="s">
        <v>186</v>
      </c>
      <c r="C21" s="8" t="s">
        <v>187</v>
      </c>
      <c r="D21" s="9">
        <v>39</v>
      </c>
      <c r="E21" s="8" t="s">
        <v>46</v>
      </c>
      <c r="F21" s="8" t="s">
        <v>188</v>
      </c>
      <c r="G21" s="8" t="s">
        <v>80</v>
      </c>
      <c r="H21" s="8" t="s">
        <v>189</v>
      </c>
      <c r="I21" s="8" t="s">
        <v>30</v>
      </c>
      <c r="J21" s="8" t="s">
        <v>31</v>
      </c>
      <c r="K21" s="8" t="s">
        <v>32</v>
      </c>
      <c r="L21" s="8" t="s">
        <v>33</v>
      </c>
      <c r="M21" s="8" t="s">
        <v>190</v>
      </c>
      <c r="N21" s="10">
        <v>43010</v>
      </c>
      <c r="O21" s="11">
        <v>100</v>
      </c>
      <c r="P21" s="8" t="s">
        <v>191</v>
      </c>
      <c r="Q21" s="8" t="s">
        <v>192</v>
      </c>
      <c r="V21" s="12"/>
      <c r="W21" s="12"/>
      <c r="X21" s="7" t="s">
        <v>167</v>
      </c>
    </row>
    <row r="22" spans="1:24" x14ac:dyDescent="0.2">
      <c r="A22" s="8" t="s">
        <v>193</v>
      </c>
      <c r="B22" s="8" t="s">
        <v>194</v>
      </c>
      <c r="C22" s="8" t="s">
        <v>195</v>
      </c>
      <c r="D22" s="9">
        <v>57</v>
      </c>
      <c r="E22" s="8" t="s">
        <v>46</v>
      </c>
      <c r="F22" s="8" t="s">
        <v>196</v>
      </c>
      <c r="G22" s="8" t="s">
        <v>28</v>
      </c>
      <c r="H22" s="8" t="s">
        <v>197</v>
      </c>
      <c r="I22" s="8" t="s">
        <v>30</v>
      </c>
      <c r="J22" s="8" t="s">
        <v>164</v>
      </c>
      <c r="K22" s="8" t="s">
        <v>32</v>
      </c>
      <c r="L22" s="8" t="s">
        <v>33</v>
      </c>
      <c r="M22" s="8" t="s">
        <v>124</v>
      </c>
      <c r="N22" s="10">
        <v>43017</v>
      </c>
      <c r="O22" s="11">
        <v>100</v>
      </c>
      <c r="P22" s="8" t="s">
        <v>198</v>
      </c>
      <c r="Q22" s="8" t="s">
        <v>199</v>
      </c>
      <c r="V22" s="12"/>
      <c r="W22" s="12"/>
      <c r="X22" s="7" t="s">
        <v>167</v>
      </c>
    </row>
    <row r="23" spans="1:24" x14ac:dyDescent="0.2">
      <c r="A23" s="8" t="s">
        <v>200</v>
      </c>
      <c r="B23" s="8" t="s">
        <v>201</v>
      </c>
      <c r="C23" s="8" t="s">
        <v>202</v>
      </c>
      <c r="D23" s="9">
        <v>34</v>
      </c>
      <c r="E23" s="8" t="s">
        <v>26</v>
      </c>
      <c r="F23" s="8" t="s">
        <v>203</v>
      </c>
      <c r="G23" s="8" t="s">
        <v>123</v>
      </c>
      <c r="H23" s="8" t="s">
        <v>204</v>
      </c>
      <c r="I23" s="8" t="s">
        <v>82</v>
      </c>
      <c r="J23" s="13" t="s">
        <v>83</v>
      </c>
      <c r="K23" s="8" t="s">
        <v>32</v>
      </c>
      <c r="L23" s="8" t="s">
        <v>33</v>
      </c>
      <c r="M23" s="8" t="s">
        <v>84</v>
      </c>
      <c r="N23" s="10">
        <v>43017</v>
      </c>
      <c r="O23" s="11">
        <v>100</v>
      </c>
      <c r="P23" s="8" t="s">
        <v>205</v>
      </c>
      <c r="Q23" s="8" t="s">
        <v>206</v>
      </c>
      <c r="V23" s="12"/>
      <c r="W23" s="12"/>
      <c r="X23" s="7" t="s">
        <v>167</v>
      </c>
    </row>
    <row r="24" spans="1:24" x14ac:dyDescent="0.2">
      <c r="A24" s="8" t="s">
        <v>207</v>
      </c>
      <c r="B24" s="8" t="s">
        <v>208</v>
      </c>
      <c r="C24" s="8" t="s">
        <v>209</v>
      </c>
      <c r="D24" s="9">
        <v>44</v>
      </c>
      <c r="E24" s="8" t="s">
        <v>26</v>
      </c>
      <c r="F24" s="8" t="s">
        <v>210</v>
      </c>
      <c r="G24" s="8" t="s">
        <v>211</v>
      </c>
      <c r="H24" s="8" t="s">
        <v>212</v>
      </c>
      <c r="I24" s="8" t="s">
        <v>30</v>
      </c>
      <c r="J24" s="8" t="s">
        <v>31</v>
      </c>
      <c r="K24" s="8" t="s">
        <v>32</v>
      </c>
      <c r="L24" s="8" t="s">
        <v>33</v>
      </c>
      <c r="M24" s="8" t="s">
        <v>190</v>
      </c>
      <c r="N24" s="10">
        <v>43017</v>
      </c>
      <c r="O24" s="11">
        <v>100</v>
      </c>
      <c r="P24" s="8" t="s">
        <v>213</v>
      </c>
      <c r="Q24" s="8" t="s">
        <v>214</v>
      </c>
      <c r="V24" s="12"/>
      <c r="W24" s="12"/>
      <c r="X24" s="7" t="s">
        <v>167</v>
      </c>
    </row>
    <row r="25" spans="1:24" x14ac:dyDescent="0.2">
      <c r="A25" s="8" t="s">
        <v>215</v>
      </c>
      <c r="B25" s="8" t="s">
        <v>216</v>
      </c>
      <c r="C25" s="8" t="s">
        <v>217</v>
      </c>
      <c r="D25" s="9">
        <v>28</v>
      </c>
      <c r="E25" s="8" t="s">
        <v>46</v>
      </c>
      <c r="F25" s="8" t="s">
        <v>218</v>
      </c>
      <c r="G25" s="8" t="s">
        <v>80</v>
      </c>
      <c r="H25" s="8" t="s">
        <v>219</v>
      </c>
      <c r="I25" s="8" t="s">
        <v>82</v>
      </c>
      <c r="J25" s="13" t="s">
        <v>83</v>
      </c>
      <c r="K25" s="8" t="s">
        <v>73</v>
      </c>
      <c r="L25" s="8" t="s">
        <v>33</v>
      </c>
      <c r="M25" s="8" t="s">
        <v>124</v>
      </c>
      <c r="N25" s="10">
        <v>43012</v>
      </c>
      <c r="O25" s="11">
        <v>53.33</v>
      </c>
      <c r="P25" s="8" t="s">
        <v>220</v>
      </c>
      <c r="Q25" s="8" t="s">
        <v>221</v>
      </c>
      <c r="V25" s="12"/>
      <c r="W25" s="12"/>
      <c r="X25" s="7" t="s">
        <v>167</v>
      </c>
    </row>
    <row r="26" spans="1:24" x14ac:dyDescent="0.2">
      <c r="A26" s="8" t="s">
        <v>222</v>
      </c>
      <c r="B26" s="8" t="s">
        <v>223</v>
      </c>
      <c r="C26" s="8" t="s">
        <v>224</v>
      </c>
      <c r="D26" s="9">
        <v>44</v>
      </c>
      <c r="E26" s="8" t="s">
        <v>46</v>
      </c>
      <c r="F26" s="8" t="s">
        <v>225</v>
      </c>
      <c r="G26" s="8" t="s">
        <v>80</v>
      </c>
      <c r="H26" s="8" t="s">
        <v>226</v>
      </c>
      <c r="I26" s="8" t="s">
        <v>227</v>
      </c>
      <c r="J26" s="13" t="s">
        <v>228</v>
      </c>
      <c r="K26" s="8" t="s">
        <v>32</v>
      </c>
      <c r="L26" s="8" t="s">
        <v>93</v>
      </c>
      <c r="M26" s="8" t="s">
        <v>94</v>
      </c>
      <c r="N26" s="10">
        <v>43017</v>
      </c>
      <c r="O26" s="11">
        <v>100</v>
      </c>
      <c r="P26" s="8" t="s">
        <v>229</v>
      </c>
      <c r="Q26" s="8" t="s">
        <v>230</v>
      </c>
      <c r="V26" s="12"/>
      <c r="W26" s="12"/>
      <c r="X26" s="7" t="s">
        <v>167</v>
      </c>
    </row>
    <row r="27" spans="1:24" x14ac:dyDescent="0.2">
      <c r="A27" s="8" t="s">
        <v>231</v>
      </c>
      <c r="B27" s="8" t="s">
        <v>232</v>
      </c>
      <c r="C27" s="8" t="s">
        <v>233</v>
      </c>
      <c r="D27" s="9">
        <v>49</v>
      </c>
      <c r="E27" s="8" t="s">
        <v>46</v>
      </c>
      <c r="F27" s="8" t="s">
        <v>234</v>
      </c>
      <c r="G27" s="8" t="s">
        <v>80</v>
      </c>
      <c r="H27" s="8" t="s">
        <v>91</v>
      </c>
      <c r="I27" s="8" t="s">
        <v>180</v>
      </c>
      <c r="J27" s="13" t="s">
        <v>83</v>
      </c>
      <c r="K27" s="8" t="s">
        <v>32</v>
      </c>
      <c r="L27" s="8" t="s">
        <v>181</v>
      </c>
      <c r="M27" s="8" t="s">
        <v>182</v>
      </c>
      <c r="N27" s="10">
        <v>43017</v>
      </c>
      <c r="O27" s="11">
        <v>100</v>
      </c>
      <c r="P27" s="8" t="s">
        <v>235</v>
      </c>
      <c r="Q27" s="8" t="s">
        <v>184</v>
      </c>
      <c r="V27" s="12"/>
      <c r="W27" s="12"/>
      <c r="X27" s="7" t="s">
        <v>167</v>
      </c>
    </row>
    <row r="28" spans="1:24" x14ac:dyDescent="0.2">
      <c r="A28" s="8" t="s">
        <v>236</v>
      </c>
      <c r="B28" s="8" t="s">
        <v>237</v>
      </c>
      <c r="C28" s="8" t="s">
        <v>208</v>
      </c>
      <c r="D28" s="9">
        <v>33</v>
      </c>
      <c r="E28" s="8" t="s">
        <v>46</v>
      </c>
      <c r="F28" s="8" t="s">
        <v>238</v>
      </c>
      <c r="G28" s="8" t="s">
        <v>80</v>
      </c>
      <c r="H28" s="8" t="s">
        <v>239</v>
      </c>
      <c r="I28" s="8" t="s">
        <v>180</v>
      </c>
      <c r="J28" s="13" t="s">
        <v>83</v>
      </c>
      <c r="K28" s="8" t="s">
        <v>32</v>
      </c>
      <c r="L28" s="8" t="s">
        <v>240</v>
      </c>
      <c r="M28" s="8" t="s">
        <v>241</v>
      </c>
      <c r="N28" s="10">
        <v>43017</v>
      </c>
      <c r="O28" s="11">
        <v>100</v>
      </c>
      <c r="P28" s="8" t="s">
        <v>242</v>
      </c>
      <c r="Q28" s="8" t="s">
        <v>230</v>
      </c>
      <c r="V28" s="12"/>
      <c r="W28" s="12"/>
      <c r="X28" s="7" t="s">
        <v>167</v>
      </c>
    </row>
    <row r="29" spans="1:24" x14ac:dyDescent="0.2">
      <c r="A29" s="8" t="s">
        <v>243</v>
      </c>
      <c r="B29" s="8" t="s">
        <v>244</v>
      </c>
      <c r="C29" s="8" t="s">
        <v>245</v>
      </c>
      <c r="D29" s="9">
        <v>43</v>
      </c>
      <c r="E29" s="8" t="s">
        <v>46</v>
      </c>
      <c r="F29" s="8" t="s">
        <v>246</v>
      </c>
      <c r="G29" s="8" t="s">
        <v>80</v>
      </c>
      <c r="H29" s="8" t="s">
        <v>247</v>
      </c>
      <c r="I29" s="8" t="s">
        <v>92</v>
      </c>
      <c r="J29" s="13" t="s">
        <v>51</v>
      </c>
      <c r="K29" s="8" t="s">
        <v>32</v>
      </c>
      <c r="L29" s="8" t="s">
        <v>240</v>
      </c>
      <c r="M29" s="8" t="s">
        <v>94</v>
      </c>
      <c r="N29" s="10">
        <v>43017</v>
      </c>
      <c r="O29" s="11">
        <v>100</v>
      </c>
      <c r="P29" s="8" t="s">
        <v>248</v>
      </c>
      <c r="Q29" s="8" t="s">
        <v>249</v>
      </c>
      <c r="V29" s="12"/>
      <c r="W29" s="12"/>
      <c r="X29" s="7" t="s">
        <v>167</v>
      </c>
    </row>
    <row r="30" spans="1:24" x14ac:dyDescent="0.2">
      <c r="A30" s="8" t="s">
        <v>250</v>
      </c>
      <c r="B30" s="8" t="s">
        <v>251</v>
      </c>
      <c r="C30" s="8" t="s">
        <v>252</v>
      </c>
      <c r="D30" s="9">
        <v>33</v>
      </c>
      <c r="E30" s="8" t="s">
        <v>46</v>
      </c>
      <c r="F30" s="8" t="s">
        <v>253</v>
      </c>
      <c r="G30" s="8" t="s">
        <v>80</v>
      </c>
      <c r="H30" s="8" t="s">
        <v>254</v>
      </c>
      <c r="I30" s="8" t="s">
        <v>227</v>
      </c>
      <c r="J30" s="13" t="s">
        <v>228</v>
      </c>
      <c r="K30" s="8" t="s">
        <v>32</v>
      </c>
      <c r="L30" s="8" t="s">
        <v>181</v>
      </c>
      <c r="M30" s="8" t="s">
        <v>255</v>
      </c>
      <c r="N30" s="10">
        <v>43024</v>
      </c>
      <c r="O30" s="11">
        <v>100</v>
      </c>
      <c r="P30" s="8" t="s">
        <v>256</v>
      </c>
      <c r="Q30" s="8" t="s">
        <v>257</v>
      </c>
      <c r="V30" s="12"/>
      <c r="W30" s="12"/>
      <c r="X30" s="7" t="s">
        <v>167</v>
      </c>
    </row>
    <row r="31" spans="1:24" x14ac:dyDescent="0.2">
      <c r="A31" s="8" t="s">
        <v>258</v>
      </c>
      <c r="B31" s="8" t="s">
        <v>259</v>
      </c>
      <c r="C31" s="8" t="s">
        <v>260</v>
      </c>
      <c r="D31" s="9">
        <v>29</v>
      </c>
      <c r="E31" s="8" t="s">
        <v>46</v>
      </c>
      <c r="F31" s="8" t="s">
        <v>112</v>
      </c>
      <c r="G31" s="8" t="s">
        <v>113</v>
      </c>
      <c r="H31" s="8" t="s">
        <v>261</v>
      </c>
      <c r="I31" s="8" t="s">
        <v>30</v>
      </c>
      <c r="J31" s="8" t="s">
        <v>164</v>
      </c>
      <c r="K31" s="8" t="s">
        <v>32</v>
      </c>
      <c r="L31" s="8" t="s">
        <v>33</v>
      </c>
      <c r="M31" s="8" t="s">
        <v>124</v>
      </c>
      <c r="N31" s="10">
        <v>43017</v>
      </c>
      <c r="O31" s="11">
        <v>100</v>
      </c>
      <c r="P31" s="8" t="s">
        <v>262</v>
      </c>
      <c r="Q31" s="8" t="s">
        <v>263</v>
      </c>
      <c r="V31" s="12"/>
      <c r="W31" s="12"/>
      <c r="X31" s="7" t="s">
        <v>167</v>
      </c>
    </row>
    <row r="32" spans="1:24" x14ac:dyDescent="0.2">
      <c r="A32" s="8" t="s">
        <v>264</v>
      </c>
      <c r="B32" s="8" t="s">
        <v>265</v>
      </c>
      <c r="C32" s="8" t="s">
        <v>266</v>
      </c>
      <c r="D32" s="9">
        <v>30</v>
      </c>
      <c r="E32" s="8" t="s">
        <v>46</v>
      </c>
      <c r="F32" s="8" t="s">
        <v>267</v>
      </c>
      <c r="G32" s="8" t="s">
        <v>211</v>
      </c>
      <c r="H32" s="8" t="s">
        <v>212</v>
      </c>
      <c r="I32" s="8" t="s">
        <v>30</v>
      </c>
      <c r="J32" s="8" t="s">
        <v>31</v>
      </c>
      <c r="K32" s="8" t="s">
        <v>32</v>
      </c>
      <c r="L32" s="8" t="s">
        <v>33</v>
      </c>
      <c r="M32" s="8" t="s">
        <v>52</v>
      </c>
      <c r="N32" s="10">
        <v>43024</v>
      </c>
      <c r="O32" s="11">
        <v>100</v>
      </c>
      <c r="P32" s="8" t="s">
        <v>268</v>
      </c>
      <c r="Q32" s="8" t="s">
        <v>269</v>
      </c>
      <c r="V32" s="12"/>
      <c r="W32" s="12"/>
      <c r="X32" s="7" t="s">
        <v>167</v>
      </c>
    </row>
    <row r="33" spans="1:24" x14ac:dyDescent="0.2">
      <c r="A33" s="8" t="s">
        <v>270</v>
      </c>
      <c r="B33" s="8" t="s">
        <v>271</v>
      </c>
      <c r="C33" s="8" t="s">
        <v>272</v>
      </c>
      <c r="D33" s="9">
        <v>53</v>
      </c>
      <c r="E33" s="8" t="s">
        <v>46</v>
      </c>
      <c r="F33" s="8" t="s">
        <v>273</v>
      </c>
      <c r="G33" s="8" t="s">
        <v>80</v>
      </c>
      <c r="H33" s="8" t="s">
        <v>274</v>
      </c>
      <c r="I33" s="8" t="s">
        <v>30</v>
      </c>
      <c r="J33" s="13" t="s">
        <v>228</v>
      </c>
      <c r="K33" s="8" t="s">
        <v>32</v>
      </c>
      <c r="L33" s="8" t="s">
        <v>33</v>
      </c>
      <c r="M33" s="8" t="s">
        <v>124</v>
      </c>
      <c r="N33" s="10">
        <v>43024</v>
      </c>
      <c r="O33" s="11">
        <v>100</v>
      </c>
      <c r="P33" s="8" t="s">
        <v>275</v>
      </c>
      <c r="Q33" s="8" t="s">
        <v>276</v>
      </c>
      <c r="V33" s="12"/>
      <c r="W33" s="12"/>
      <c r="X33" s="7" t="s">
        <v>167</v>
      </c>
    </row>
    <row r="34" spans="1:24" x14ac:dyDescent="0.2">
      <c r="A34" s="8" t="s">
        <v>277</v>
      </c>
      <c r="B34" s="8" t="s">
        <v>278</v>
      </c>
      <c r="C34" s="8" t="s">
        <v>279</v>
      </c>
      <c r="D34" s="9">
        <v>44</v>
      </c>
      <c r="E34" s="8" t="s">
        <v>46</v>
      </c>
      <c r="F34" s="8" t="s">
        <v>280</v>
      </c>
      <c r="G34" s="8" t="s">
        <v>80</v>
      </c>
      <c r="H34" s="8" t="s">
        <v>219</v>
      </c>
      <c r="I34" s="8" t="s">
        <v>82</v>
      </c>
      <c r="J34" s="13" t="s">
        <v>83</v>
      </c>
      <c r="K34" s="8" t="s">
        <v>32</v>
      </c>
      <c r="L34" s="8" t="s">
        <v>115</v>
      </c>
      <c r="M34" s="8" t="s">
        <v>116</v>
      </c>
      <c r="N34" s="10">
        <v>43031</v>
      </c>
      <c r="O34" s="11">
        <v>100</v>
      </c>
      <c r="P34" s="8" t="s">
        <v>281</v>
      </c>
      <c r="Q34" s="8" t="s">
        <v>282</v>
      </c>
      <c r="V34" s="12"/>
      <c r="W34" s="12"/>
      <c r="X34" s="7" t="s">
        <v>167</v>
      </c>
    </row>
    <row r="35" spans="1:24" x14ac:dyDescent="0.2">
      <c r="A35" s="8" t="s">
        <v>283</v>
      </c>
      <c r="B35" s="8" t="s">
        <v>284</v>
      </c>
      <c r="C35" s="8" t="s">
        <v>285</v>
      </c>
      <c r="D35" s="9">
        <v>38</v>
      </c>
      <c r="E35" s="8" t="s">
        <v>46</v>
      </c>
      <c r="F35" s="8" t="s">
        <v>171</v>
      </c>
      <c r="G35" s="8" t="s">
        <v>113</v>
      </c>
      <c r="H35" s="8" t="s">
        <v>172</v>
      </c>
      <c r="I35" s="8" t="s">
        <v>30</v>
      </c>
      <c r="J35" s="8" t="s">
        <v>164</v>
      </c>
      <c r="K35" s="8" t="s">
        <v>32</v>
      </c>
      <c r="L35" s="8" t="s">
        <v>33</v>
      </c>
      <c r="M35" s="8" t="s">
        <v>124</v>
      </c>
      <c r="N35" s="10">
        <v>43031</v>
      </c>
      <c r="O35" s="11">
        <v>100</v>
      </c>
      <c r="P35" s="8" t="s">
        <v>286</v>
      </c>
      <c r="Q35" s="8" t="s">
        <v>287</v>
      </c>
      <c r="V35" s="12"/>
      <c r="W35" s="12"/>
      <c r="X35" s="7" t="s">
        <v>167</v>
      </c>
    </row>
    <row r="36" spans="1:24" x14ac:dyDescent="0.2">
      <c r="A36" s="8" t="s">
        <v>288</v>
      </c>
      <c r="B36" s="8" t="s">
        <v>289</v>
      </c>
      <c r="C36" s="8" t="s">
        <v>290</v>
      </c>
      <c r="D36" s="9">
        <v>40</v>
      </c>
      <c r="E36" s="8" t="s">
        <v>46</v>
      </c>
      <c r="F36" s="8" t="s">
        <v>171</v>
      </c>
      <c r="G36" s="8" t="s">
        <v>113</v>
      </c>
      <c r="H36" s="8" t="s">
        <v>172</v>
      </c>
      <c r="I36" s="8" t="s">
        <v>30</v>
      </c>
      <c r="J36" s="8" t="s">
        <v>164</v>
      </c>
      <c r="K36" s="8" t="s">
        <v>32</v>
      </c>
      <c r="L36" s="8" t="s">
        <v>33</v>
      </c>
      <c r="M36" s="8" t="s">
        <v>52</v>
      </c>
      <c r="N36" s="10">
        <v>43024</v>
      </c>
      <c r="O36" s="11">
        <v>100</v>
      </c>
      <c r="P36" s="8" t="s">
        <v>291</v>
      </c>
      <c r="Q36" s="8" t="s">
        <v>292</v>
      </c>
      <c r="V36" s="12"/>
      <c r="W36" s="12"/>
      <c r="X36" s="7" t="s">
        <v>167</v>
      </c>
    </row>
    <row r="37" spans="1:24" x14ac:dyDescent="0.2">
      <c r="A37" s="8" t="s">
        <v>293</v>
      </c>
      <c r="B37" s="8" t="s">
        <v>294</v>
      </c>
      <c r="C37" s="8" t="s">
        <v>295</v>
      </c>
      <c r="D37" s="9">
        <v>53</v>
      </c>
      <c r="E37" s="8" t="s">
        <v>46</v>
      </c>
      <c r="F37" s="8" t="s">
        <v>178</v>
      </c>
      <c r="G37" s="8" t="s">
        <v>80</v>
      </c>
      <c r="H37" s="8" t="s">
        <v>179</v>
      </c>
      <c r="I37" s="8" t="s">
        <v>180</v>
      </c>
      <c r="J37" s="13" t="s">
        <v>83</v>
      </c>
      <c r="K37" s="8" t="s">
        <v>32</v>
      </c>
      <c r="L37" s="8" t="s">
        <v>181</v>
      </c>
      <c r="M37" s="8" t="s">
        <v>182</v>
      </c>
      <c r="N37" s="10">
        <v>43038</v>
      </c>
      <c r="O37" s="11">
        <v>100</v>
      </c>
      <c r="P37" s="8" t="s">
        <v>296</v>
      </c>
      <c r="Q37" s="8" t="s">
        <v>184</v>
      </c>
      <c r="V37" s="12"/>
      <c r="W37" s="12"/>
      <c r="X37" s="7" t="s">
        <v>167</v>
      </c>
    </row>
    <row r="38" spans="1:24" x14ac:dyDescent="0.2">
      <c r="A38" s="8" t="s">
        <v>297</v>
      </c>
      <c r="B38" s="8" t="s">
        <v>298</v>
      </c>
      <c r="C38" s="8" t="s">
        <v>299</v>
      </c>
      <c r="D38" s="9">
        <v>38</v>
      </c>
      <c r="E38" s="8" t="s">
        <v>46</v>
      </c>
      <c r="F38" s="8" t="s">
        <v>300</v>
      </c>
      <c r="G38" s="8" t="s">
        <v>28</v>
      </c>
      <c r="H38" s="8" t="s">
        <v>29</v>
      </c>
      <c r="I38" s="8" t="s">
        <v>30</v>
      </c>
      <c r="J38" s="8" t="s">
        <v>31</v>
      </c>
      <c r="K38" s="8" t="s">
        <v>301</v>
      </c>
      <c r="L38" s="8" t="s">
        <v>33</v>
      </c>
      <c r="M38" s="8" t="s">
        <v>34</v>
      </c>
      <c r="N38" s="10">
        <v>43038</v>
      </c>
      <c r="O38" s="11">
        <v>100</v>
      </c>
      <c r="P38" s="8" t="s">
        <v>302</v>
      </c>
      <c r="Q38" s="8" t="s">
        <v>303</v>
      </c>
      <c r="V38" s="12"/>
      <c r="W38" s="12"/>
      <c r="X38" s="7" t="s">
        <v>167</v>
      </c>
    </row>
    <row r="39" spans="1:24" x14ac:dyDescent="0.2">
      <c r="A39" s="8" t="s">
        <v>304</v>
      </c>
      <c r="B39" s="8" t="s">
        <v>305</v>
      </c>
      <c r="C39" s="8" t="s">
        <v>306</v>
      </c>
      <c r="D39" s="9">
        <v>63</v>
      </c>
      <c r="E39" s="8" t="s">
        <v>26</v>
      </c>
      <c r="F39" s="8" t="s">
        <v>307</v>
      </c>
      <c r="G39" s="8" t="s">
        <v>123</v>
      </c>
      <c r="H39" s="8" t="s">
        <v>48</v>
      </c>
      <c r="I39" s="8" t="s">
        <v>148</v>
      </c>
      <c r="J39" s="13" t="s">
        <v>133</v>
      </c>
      <c r="K39" s="8" t="s">
        <v>308</v>
      </c>
      <c r="L39" s="8" t="s">
        <v>309</v>
      </c>
      <c r="M39" s="8" t="s">
        <v>139</v>
      </c>
      <c r="N39" s="10">
        <v>43013</v>
      </c>
      <c r="O39" s="11">
        <v>100</v>
      </c>
      <c r="P39" s="8" t="s">
        <v>310</v>
      </c>
      <c r="Q39" s="8" t="s">
        <v>311</v>
      </c>
      <c r="V39" s="12"/>
      <c r="W39" s="12"/>
      <c r="X39" s="7" t="s">
        <v>167</v>
      </c>
    </row>
    <row r="40" spans="1:24" x14ac:dyDescent="0.2">
      <c r="A40" s="8" t="s">
        <v>312</v>
      </c>
      <c r="B40" s="8" t="s">
        <v>313</v>
      </c>
      <c r="C40" s="8" t="s">
        <v>314</v>
      </c>
      <c r="D40" s="9">
        <v>46</v>
      </c>
      <c r="E40" s="8" t="s">
        <v>26</v>
      </c>
      <c r="F40" s="8" t="s">
        <v>315</v>
      </c>
      <c r="G40" s="8" t="s">
        <v>63</v>
      </c>
      <c r="H40" s="8" t="s">
        <v>63</v>
      </c>
      <c r="I40" s="8" t="s">
        <v>132</v>
      </c>
      <c r="J40" s="13" t="s">
        <v>133</v>
      </c>
      <c r="K40" s="8" t="s">
        <v>32</v>
      </c>
      <c r="L40" s="8" t="s">
        <v>33</v>
      </c>
      <c r="M40" s="8" t="s">
        <v>52</v>
      </c>
      <c r="N40" s="10">
        <v>43010</v>
      </c>
      <c r="O40" s="11">
        <v>100</v>
      </c>
      <c r="P40" s="8" t="s">
        <v>316</v>
      </c>
      <c r="Q40" s="8" t="s">
        <v>317</v>
      </c>
      <c r="V40" s="12"/>
      <c r="W40" s="12"/>
      <c r="X40" s="7" t="s">
        <v>167</v>
      </c>
    </row>
    <row r="41" spans="1:24" x14ac:dyDescent="0.2">
      <c r="A41" s="8" t="s">
        <v>318</v>
      </c>
      <c r="B41" s="8" t="s">
        <v>319</v>
      </c>
      <c r="C41" s="8" t="s">
        <v>320</v>
      </c>
      <c r="D41" s="9">
        <v>29</v>
      </c>
      <c r="E41" s="8" t="s">
        <v>46</v>
      </c>
      <c r="F41" s="8" t="s">
        <v>321</v>
      </c>
      <c r="G41" s="8" t="s">
        <v>322</v>
      </c>
      <c r="H41" s="8" t="s">
        <v>323</v>
      </c>
      <c r="I41" s="8" t="s">
        <v>132</v>
      </c>
      <c r="J41" s="13" t="s">
        <v>133</v>
      </c>
      <c r="K41" s="8" t="s">
        <v>32</v>
      </c>
      <c r="L41" s="8" t="s">
        <v>33</v>
      </c>
      <c r="M41" s="8" t="s">
        <v>190</v>
      </c>
      <c r="N41" s="10">
        <v>43017</v>
      </c>
      <c r="O41" s="11">
        <v>100</v>
      </c>
      <c r="P41" s="8" t="s">
        <v>324</v>
      </c>
      <c r="Q41" s="8" t="s">
        <v>325</v>
      </c>
      <c r="V41" s="12"/>
      <c r="W41" s="12"/>
      <c r="X41" s="7" t="s">
        <v>167</v>
      </c>
    </row>
    <row r="42" spans="1:24" x14ac:dyDescent="0.2">
      <c r="A42" s="8" t="s">
        <v>326</v>
      </c>
      <c r="B42" s="8" t="s">
        <v>327</v>
      </c>
      <c r="C42" s="8" t="s">
        <v>328</v>
      </c>
      <c r="D42" s="9">
        <v>23</v>
      </c>
      <c r="E42" s="8" t="s">
        <v>46</v>
      </c>
      <c r="F42" s="8" t="s">
        <v>329</v>
      </c>
      <c r="G42" s="8" t="s">
        <v>80</v>
      </c>
      <c r="H42" s="8" t="s">
        <v>330</v>
      </c>
      <c r="I42" s="8" t="s">
        <v>148</v>
      </c>
      <c r="J42" s="13" t="s">
        <v>133</v>
      </c>
      <c r="K42" s="8" t="s">
        <v>32</v>
      </c>
      <c r="L42" s="8" t="s">
        <v>93</v>
      </c>
      <c r="M42" s="8" t="s">
        <v>331</v>
      </c>
      <c r="N42" s="10">
        <v>43016</v>
      </c>
      <c r="O42" s="11">
        <v>100</v>
      </c>
      <c r="P42" s="8" t="s">
        <v>332</v>
      </c>
      <c r="Q42" s="8" t="s">
        <v>333</v>
      </c>
      <c r="V42" s="12"/>
      <c r="W42" s="12"/>
      <c r="X42" s="7" t="s">
        <v>167</v>
      </c>
    </row>
    <row r="43" spans="1:24" x14ac:dyDescent="0.2">
      <c r="A43" s="8" t="s">
        <v>334</v>
      </c>
      <c r="B43" s="8" t="s">
        <v>335</v>
      </c>
      <c r="C43" s="8" t="s">
        <v>336</v>
      </c>
      <c r="D43" s="8">
        <v>48</v>
      </c>
      <c r="E43" s="8" t="s">
        <v>46</v>
      </c>
      <c r="F43" s="8" t="s">
        <v>337</v>
      </c>
      <c r="G43" s="8" t="s">
        <v>80</v>
      </c>
      <c r="H43" s="8" t="s">
        <v>338</v>
      </c>
      <c r="I43" s="8" t="s">
        <v>339</v>
      </c>
      <c r="J43" s="13" t="s">
        <v>340</v>
      </c>
      <c r="K43" s="8" t="s">
        <v>32</v>
      </c>
      <c r="L43" s="8" t="s">
        <v>33</v>
      </c>
      <c r="M43" s="8" t="s">
        <v>124</v>
      </c>
      <c r="N43" s="14">
        <v>43052</v>
      </c>
      <c r="O43" s="8">
        <v>100</v>
      </c>
      <c r="P43" s="8" t="s">
        <v>341</v>
      </c>
      <c r="Q43" s="8" t="s">
        <v>342</v>
      </c>
      <c r="R43" s="8" t="s">
        <v>343</v>
      </c>
      <c r="S43" s="13">
        <v>5818</v>
      </c>
      <c r="T43" s="8" t="s">
        <v>344</v>
      </c>
      <c r="V43" s="12" t="str">
        <f>IF(J43="Sydney Shift","Sydney",IF(J43="Sydney Day","Sydney",IF(J43="Melbourne Shift","Melbourne",IF(J43="Melbourne Day","Melbourne",IF(J43="Brisbane Day","Brisbane",IF(J43="Brisbane Shift","Brisbane",IF(J43="Adelaide Day","Adelaide",IF(J43="Adelaide Shift","Adelaide",IF(J43="Hawthorn Day","Hawthorn",IF(J43="Hawthorn AUS BU","Hawthorn",IF(J43="Jkta Day Glass","Jakarta",IF(J43="Jkta Day No Awd","Jakarta",IF(J43="Jkta shft staff","Jakarta",IF(J43="Tianjin","Tianjin",IF(J43="Zhaoqing","Zhaoqing","Auckland")))))))))))))))</f>
        <v>Adelaide</v>
      </c>
      <c r="W43" s="12" t="str">
        <f>IF(S43=4290,"Regional",IF(S43=4291,"Regional",IF(S43=4296,"Regional",IF(S43=4301,"Regional",IF(S43=4305,"Regional",IF(S43=4306,"Regional",IF(S43=4350,"Regional",IF(S43=4361,"Regional",IF(S43=4362,"Regional",IF(S43=4365,"Regional",IF(S43=4420,"Regional",IF(S43=4430,"Regional",IF(S43=4431,"Regional",IF(S43=4441,"Regional",IF(S43=4445,"Regional",IF(S43=4446,"Regional",IF(S43=4450,"Regional",IF(S43=4455,"Regional",IF(S43=4460,"Regional",IF(S43=4470,"Regional",IF(S43=4475,"Regional",IF(S43=4480,"Regional",IF(S43=4490,"Regional",IF(S43=4500,"Regional",IF(S43=4510,"Regional",IF(S43=4515,"Regional",IF(S43=4520,"Regional",IF(S43=4800,"Regional",IF(S43=4810,"Regional",IF(S43=4812,"Regional",IF(S43=4813,"Regional",IF(S43=4814,"Regional",IF(S43=4815,"Regional",IF(S43=4816,"Regional",IF(S43=4817,"Regional",IF(S43=4820,"Regional",IF(S43=4440,"Regional",IF(S43=4308,"Regional",IF(S43=1310,"Regional",IF(S43=1400,"Regional","ANZ Business Unit"))))))))))))))))))))))))))))))))))))))))</f>
        <v>ANZ Business Unit</v>
      </c>
      <c r="X43" s="7" t="s">
        <v>345</v>
      </c>
    </row>
    <row r="44" spans="1:24" x14ac:dyDescent="0.2">
      <c r="A44" s="8" t="s">
        <v>346</v>
      </c>
      <c r="B44" s="8" t="s">
        <v>347</v>
      </c>
      <c r="C44" s="8" t="s">
        <v>348</v>
      </c>
      <c r="D44" s="8">
        <v>39</v>
      </c>
      <c r="E44" s="8" t="s">
        <v>46</v>
      </c>
      <c r="F44" s="8" t="s">
        <v>280</v>
      </c>
      <c r="G44" s="8" t="s">
        <v>211</v>
      </c>
      <c r="H44" s="8" t="s">
        <v>349</v>
      </c>
      <c r="I44" s="8" t="s">
        <v>82</v>
      </c>
      <c r="J44" s="13" t="s">
        <v>350</v>
      </c>
      <c r="K44" s="8" t="s">
        <v>32</v>
      </c>
      <c r="L44" s="8" t="s">
        <v>33</v>
      </c>
      <c r="M44" s="8" t="s">
        <v>124</v>
      </c>
      <c r="N44" s="14">
        <v>43052</v>
      </c>
      <c r="O44" s="8">
        <v>100</v>
      </c>
      <c r="P44" s="8" t="s">
        <v>351</v>
      </c>
      <c r="Q44" s="8" t="s">
        <v>352</v>
      </c>
      <c r="R44" s="8" t="s">
        <v>343</v>
      </c>
      <c r="S44" s="8">
        <v>6060</v>
      </c>
      <c r="T44" s="8" t="s">
        <v>353</v>
      </c>
      <c r="V44" s="12" t="str">
        <f t="shared" ref="V44:V50" si="0">IF(J44="Sydney Shift","Sydney",IF(J44="Sydney Day","Sydney",IF(J44="Melbourne Shift","Melbourne",IF(J44="Melbourne Day","Melbourne",IF(J44="Brisbane Day","Brisbane",IF(J44="Brisbane Shift","Brisbane",IF(J44="Adelaide Day","Adelaide",IF(J44="Adelaide Shift","Adelaide",IF(J44="Hawthorn Day","Hawthorn",IF(J44="Hawthorn AUS BU","Hawthorn",IF(J44="Jkta Day Glass","Jakarta",IF(J44="Jkta Day No Awd","Jakarta",IF(J44="Jkta shft staff","Jakarta",IF(J44="Tianjin","Tianjin",IF(J44="Zhaoqing","Zhaoqing","Auckland")))))))))))))))</f>
        <v>Brisbane</v>
      </c>
      <c r="W44" s="12" t="str">
        <f t="shared" ref="W44:W50" si="1">IF(S44=4290,"Regional",IF(S44=4291,"Regional",IF(S44=4296,"Regional",IF(S44=4301,"Regional",IF(S44=4305,"Regional",IF(S44=4306,"Regional",IF(S44=4350,"Regional",IF(S44=4361,"Regional",IF(S44=4362,"Regional",IF(S44=4365,"Regional",IF(S44=4420,"Regional",IF(S44=4430,"Regional",IF(S44=4431,"Regional",IF(S44=4441,"Regional",IF(S44=4445,"Regional",IF(S44=4446,"Regional",IF(S44=4450,"Regional",IF(S44=4455,"Regional",IF(S44=4460,"Regional",IF(S44=4470,"Regional",IF(S44=4475,"Regional",IF(S44=4480,"Regional",IF(S44=4490,"Regional",IF(S44=4500,"Regional",IF(S44=4510,"Regional",IF(S44=4515,"Regional",IF(S44=4520,"Regional",IF(S44=4800,"Regional",IF(S44=4810,"Regional",IF(S44=4812,"Regional",IF(S44=4813,"Regional",IF(S44=4814,"Regional",IF(S44=4815,"Regional",IF(S44=4816,"Regional",IF(S44=4817,"Regional",IF(S44=4820,"Regional",IF(S44=4440,"Regional",IF(S44=4308,"Regional",IF(S44=1310,"Regional",IF(S44=1400,"Regional","ANZ Business Unit"))))))))))))))))))))))))))))))))))))))))</f>
        <v>ANZ Business Unit</v>
      </c>
      <c r="X44" s="7" t="s">
        <v>345</v>
      </c>
    </row>
    <row r="45" spans="1:24" x14ac:dyDescent="0.2">
      <c r="A45" s="8" t="s">
        <v>354</v>
      </c>
      <c r="B45" s="8" t="s">
        <v>355</v>
      </c>
      <c r="C45" s="8" t="s">
        <v>356</v>
      </c>
      <c r="D45" s="8">
        <v>42</v>
      </c>
      <c r="E45" s="8" t="s">
        <v>26</v>
      </c>
      <c r="F45" s="8" t="s">
        <v>357</v>
      </c>
      <c r="G45" s="8" t="s">
        <v>63</v>
      </c>
      <c r="H45" s="8" t="s">
        <v>358</v>
      </c>
      <c r="I45" s="8" t="s">
        <v>30</v>
      </c>
      <c r="J45" s="8" t="s">
        <v>164</v>
      </c>
      <c r="K45" s="8" t="s">
        <v>301</v>
      </c>
      <c r="L45" s="8" t="s">
        <v>33</v>
      </c>
      <c r="M45" s="8" t="s">
        <v>34</v>
      </c>
      <c r="N45" s="14">
        <v>43054</v>
      </c>
      <c r="O45" s="8">
        <v>100</v>
      </c>
      <c r="P45" s="8" t="s">
        <v>359</v>
      </c>
      <c r="Q45" s="8" t="s">
        <v>360</v>
      </c>
      <c r="R45" s="8" t="s">
        <v>343</v>
      </c>
      <c r="S45" s="8">
        <v>4302</v>
      </c>
      <c r="T45" s="8" t="s">
        <v>361</v>
      </c>
      <c r="V45" s="12" t="str">
        <f t="shared" si="0"/>
        <v>Hawthorn</v>
      </c>
      <c r="W45" s="12" t="str">
        <f t="shared" si="1"/>
        <v>ANZ Business Unit</v>
      </c>
      <c r="X45" s="7" t="s">
        <v>345</v>
      </c>
    </row>
    <row r="46" spans="1:24" x14ac:dyDescent="0.2">
      <c r="A46" s="8" t="s">
        <v>362</v>
      </c>
      <c r="B46" s="8" t="s">
        <v>363</v>
      </c>
      <c r="C46" s="8" t="s">
        <v>364</v>
      </c>
      <c r="D46" s="8">
        <v>41</v>
      </c>
      <c r="E46" s="8" t="s">
        <v>46</v>
      </c>
      <c r="F46" s="8" t="s">
        <v>218</v>
      </c>
      <c r="G46" s="8" t="s">
        <v>80</v>
      </c>
      <c r="H46" s="8" t="s">
        <v>365</v>
      </c>
      <c r="I46" s="8" t="s">
        <v>82</v>
      </c>
      <c r="J46" s="13" t="s">
        <v>366</v>
      </c>
      <c r="K46" s="8" t="s">
        <v>32</v>
      </c>
      <c r="L46" s="8" t="s">
        <v>33</v>
      </c>
      <c r="M46" s="8" t="s">
        <v>124</v>
      </c>
      <c r="N46" s="14">
        <v>43054</v>
      </c>
      <c r="O46" s="8">
        <v>100</v>
      </c>
      <c r="P46" s="8" t="s">
        <v>367</v>
      </c>
      <c r="Q46" s="8" t="s">
        <v>368</v>
      </c>
      <c r="R46" s="8" t="s">
        <v>343</v>
      </c>
      <c r="S46" s="8">
        <v>6060</v>
      </c>
      <c r="T46" s="8" t="s">
        <v>353</v>
      </c>
      <c r="V46" s="12" t="str">
        <f t="shared" si="0"/>
        <v>Brisbane</v>
      </c>
      <c r="W46" s="12" t="str">
        <f t="shared" si="1"/>
        <v>ANZ Business Unit</v>
      </c>
      <c r="X46" s="7" t="s">
        <v>345</v>
      </c>
    </row>
    <row r="47" spans="1:24" x14ac:dyDescent="0.2">
      <c r="A47" s="8" t="s">
        <v>369</v>
      </c>
      <c r="B47" s="8" t="s">
        <v>370</v>
      </c>
      <c r="C47" s="8" t="s">
        <v>364</v>
      </c>
      <c r="D47" s="8">
        <v>31</v>
      </c>
      <c r="E47" s="8" t="s">
        <v>46</v>
      </c>
      <c r="F47" s="8" t="s">
        <v>371</v>
      </c>
      <c r="G47" s="8" t="s">
        <v>80</v>
      </c>
      <c r="H47" s="8" t="s">
        <v>274</v>
      </c>
      <c r="I47" s="8" t="s">
        <v>30</v>
      </c>
      <c r="J47" s="8" t="s">
        <v>372</v>
      </c>
      <c r="K47" s="8" t="s">
        <v>32</v>
      </c>
      <c r="L47" s="8" t="s">
        <v>33</v>
      </c>
      <c r="M47" s="8" t="s">
        <v>124</v>
      </c>
      <c r="N47" s="14">
        <v>43073</v>
      </c>
      <c r="O47" s="8">
        <v>100</v>
      </c>
      <c r="P47" s="8" t="s">
        <v>373</v>
      </c>
      <c r="Q47" s="8" t="s">
        <v>374</v>
      </c>
      <c r="R47" s="8" t="s">
        <v>343</v>
      </c>
      <c r="S47" s="8">
        <v>7270</v>
      </c>
      <c r="T47" s="8" t="s">
        <v>375</v>
      </c>
      <c r="V47" s="12" t="str">
        <f t="shared" si="0"/>
        <v>Melbourne</v>
      </c>
      <c r="W47" s="12" t="str">
        <f t="shared" si="1"/>
        <v>ANZ Business Unit</v>
      </c>
      <c r="X47" s="7" t="s">
        <v>376</v>
      </c>
    </row>
    <row r="48" spans="1:24" x14ac:dyDescent="0.2">
      <c r="A48" s="8" t="s">
        <v>377</v>
      </c>
      <c r="B48" s="8" t="s">
        <v>378</v>
      </c>
      <c r="C48" s="8" t="s">
        <v>379</v>
      </c>
      <c r="D48" s="8">
        <v>49</v>
      </c>
      <c r="E48" s="8" t="s">
        <v>46</v>
      </c>
      <c r="F48" s="8" t="s">
        <v>196</v>
      </c>
      <c r="G48" s="8" t="s">
        <v>63</v>
      </c>
      <c r="H48" s="8" t="s">
        <v>380</v>
      </c>
      <c r="I48" s="8" t="s">
        <v>30</v>
      </c>
      <c r="J48" s="8" t="s">
        <v>164</v>
      </c>
      <c r="K48" s="8" t="s">
        <v>32</v>
      </c>
      <c r="L48" s="8" t="s">
        <v>115</v>
      </c>
      <c r="M48" s="8" t="s">
        <v>381</v>
      </c>
      <c r="N48" s="14">
        <v>43073</v>
      </c>
      <c r="O48" s="8">
        <v>100</v>
      </c>
      <c r="P48" s="8" t="s">
        <v>382</v>
      </c>
      <c r="Q48" s="8" t="s">
        <v>383</v>
      </c>
      <c r="R48" s="8" t="s">
        <v>343</v>
      </c>
      <c r="S48" s="8">
        <v>4400</v>
      </c>
      <c r="T48" s="8" t="s">
        <v>384</v>
      </c>
      <c r="V48" s="12" t="str">
        <f t="shared" si="0"/>
        <v>Hawthorn</v>
      </c>
      <c r="W48" s="12" t="str">
        <f t="shared" si="1"/>
        <v>ANZ Business Unit</v>
      </c>
      <c r="X48" s="7" t="s">
        <v>376</v>
      </c>
    </row>
    <row r="49" spans="1:24" x14ac:dyDescent="0.2">
      <c r="A49" s="8" t="s">
        <v>385</v>
      </c>
      <c r="B49" s="8" t="s">
        <v>386</v>
      </c>
      <c r="C49" s="8" t="s">
        <v>387</v>
      </c>
      <c r="D49" s="8">
        <v>33</v>
      </c>
      <c r="E49" s="8" t="s">
        <v>46</v>
      </c>
      <c r="F49" s="8" t="s">
        <v>388</v>
      </c>
      <c r="G49" s="8" t="s">
        <v>80</v>
      </c>
      <c r="H49" s="8" t="s">
        <v>389</v>
      </c>
      <c r="I49" s="8" t="s">
        <v>227</v>
      </c>
      <c r="J49" s="8" t="s">
        <v>390</v>
      </c>
      <c r="K49" s="8" t="s">
        <v>32</v>
      </c>
      <c r="L49" s="8" t="s">
        <v>93</v>
      </c>
      <c r="M49" s="8" t="s">
        <v>94</v>
      </c>
      <c r="N49" s="14">
        <v>43073</v>
      </c>
      <c r="O49" s="8">
        <v>100</v>
      </c>
      <c r="P49" s="8" t="s">
        <v>391</v>
      </c>
      <c r="Q49" s="8" t="s">
        <v>392</v>
      </c>
      <c r="R49" s="8" t="s">
        <v>343</v>
      </c>
      <c r="S49" s="8">
        <v>7170</v>
      </c>
      <c r="T49" s="8" t="s">
        <v>393</v>
      </c>
      <c r="V49" s="12" t="str">
        <f t="shared" si="0"/>
        <v>Melbourne</v>
      </c>
      <c r="W49" s="12" t="str">
        <f t="shared" si="1"/>
        <v>ANZ Business Unit</v>
      </c>
      <c r="X49" s="7" t="s">
        <v>376</v>
      </c>
    </row>
    <row r="50" spans="1:24" x14ac:dyDescent="0.2">
      <c r="A50" s="8" t="s">
        <v>394</v>
      </c>
      <c r="B50" s="8" t="s">
        <v>395</v>
      </c>
      <c r="C50" s="8" t="s">
        <v>396</v>
      </c>
      <c r="D50" s="8">
        <v>35</v>
      </c>
      <c r="E50" s="8" t="s">
        <v>26</v>
      </c>
      <c r="F50" s="8" t="s">
        <v>397</v>
      </c>
      <c r="G50" s="8" t="s">
        <v>80</v>
      </c>
      <c r="H50" s="8" t="s">
        <v>189</v>
      </c>
      <c r="I50" s="8" t="s">
        <v>30</v>
      </c>
      <c r="J50" s="8" t="s">
        <v>31</v>
      </c>
      <c r="K50" s="8" t="s">
        <v>301</v>
      </c>
      <c r="L50" s="8" t="s">
        <v>33</v>
      </c>
      <c r="M50" s="8" t="s">
        <v>65</v>
      </c>
      <c r="N50" s="14">
        <v>43077</v>
      </c>
      <c r="O50" s="8">
        <v>100</v>
      </c>
      <c r="P50" s="8" t="s">
        <v>398</v>
      </c>
      <c r="Q50" s="8" t="s">
        <v>399</v>
      </c>
      <c r="R50" s="8" t="s">
        <v>343</v>
      </c>
      <c r="S50" s="8">
        <v>4460</v>
      </c>
      <c r="T50" s="8" t="s">
        <v>400</v>
      </c>
      <c r="V50" s="12" t="str">
        <f t="shared" si="0"/>
        <v>Hawthorn</v>
      </c>
      <c r="W50" s="12" t="str">
        <f t="shared" si="1"/>
        <v>Regional</v>
      </c>
      <c r="X50" s="7" t="s">
        <v>376</v>
      </c>
    </row>
  </sheetData>
  <autoFilter ref="A1:X50" xr:uid="{00000000-0009-0000-0000-00000B000000}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0352-BSCS-20 -Mujahid-Nawaz</dc:creator>
  <cp:lastModifiedBy>Ahmad Raza</cp:lastModifiedBy>
  <dcterms:created xsi:type="dcterms:W3CDTF">2025-08-08T09:51:19Z</dcterms:created>
  <dcterms:modified xsi:type="dcterms:W3CDTF">2025-09-15T09:08:35Z</dcterms:modified>
</cp:coreProperties>
</file>