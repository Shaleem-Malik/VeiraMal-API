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1. Shaleem Malik USA Client\Sample Sheets\"/>
    </mc:Choice>
  </mc:AlternateContent>
  <xr:revisionPtr revIDLastSave="0" documentId="13_ncr:1_{628CCF71-880B-4CB7-8462-D39BFC6914EE}" xr6:coauthVersionLast="36" xr6:coauthVersionMax="47" xr10:uidLastSave="{00000000-0000-0000-0000-000000000000}"/>
  <bookViews>
    <workbookView xWindow="-120" yWindow="-120" windowWidth="29040" windowHeight="15840" xr2:uid="{DA9D6394-B8F3-4449-87E7-5CFBAB41618A}"/>
  </bookViews>
  <sheets>
    <sheet name="Headcount" sheetId="1" r:id="rId1"/>
  </sheets>
  <definedNames>
    <definedName name="_xlnm._FilterDatabase" localSheetId="0" hidden="1">Headcount!$A$1:$AA$30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30" i="1" l="1"/>
  <c r="Y30" i="1"/>
  <c r="X30" i="1"/>
  <c r="AA29" i="1"/>
  <c r="Y29" i="1"/>
  <c r="X29" i="1"/>
  <c r="AA28" i="1"/>
  <c r="Y28" i="1"/>
  <c r="X28" i="1"/>
  <c r="AA27" i="1"/>
  <c r="Y27" i="1"/>
  <c r="X27" i="1"/>
  <c r="AA26" i="1"/>
  <c r="Y26" i="1"/>
  <c r="X26" i="1"/>
  <c r="AA25" i="1"/>
  <c r="Y25" i="1"/>
  <c r="X25" i="1"/>
  <c r="AA24" i="1"/>
  <c r="Y24" i="1"/>
  <c r="X24" i="1"/>
  <c r="AA23" i="1"/>
  <c r="Y23" i="1"/>
  <c r="X23" i="1"/>
  <c r="AA22" i="1"/>
  <c r="Y22" i="1"/>
  <c r="X22" i="1"/>
  <c r="AA21" i="1"/>
  <c r="Y21" i="1"/>
  <c r="X21" i="1"/>
  <c r="AA20" i="1"/>
  <c r="Y20" i="1"/>
  <c r="X20" i="1"/>
  <c r="AA19" i="1"/>
  <c r="Y19" i="1"/>
  <c r="X19" i="1"/>
  <c r="AA18" i="1"/>
  <c r="Y18" i="1"/>
  <c r="X18" i="1"/>
  <c r="AA17" i="1"/>
  <c r="Y17" i="1"/>
  <c r="X17" i="1"/>
  <c r="AA16" i="1"/>
  <c r="Y16" i="1"/>
  <c r="X16" i="1"/>
  <c r="AA15" i="1"/>
  <c r="Y15" i="1"/>
  <c r="X15" i="1"/>
  <c r="AA14" i="1"/>
  <c r="Y14" i="1"/>
  <c r="X14" i="1"/>
  <c r="AA13" i="1"/>
  <c r="Y13" i="1"/>
  <c r="X13" i="1"/>
  <c r="AA12" i="1"/>
  <c r="Y12" i="1"/>
  <c r="X12" i="1"/>
  <c r="AA11" i="1"/>
  <c r="Y11" i="1"/>
  <c r="X11" i="1"/>
  <c r="AA10" i="1"/>
  <c r="Y10" i="1"/>
  <c r="X10" i="1"/>
  <c r="AA9" i="1"/>
  <c r="Y9" i="1"/>
  <c r="X9" i="1"/>
  <c r="AA8" i="1"/>
  <c r="Y8" i="1"/>
  <c r="X8" i="1"/>
  <c r="AA7" i="1"/>
  <c r="Y7" i="1"/>
  <c r="X7" i="1"/>
  <c r="AA6" i="1"/>
  <c r="Y6" i="1"/>
  <c r="X6" i="1"/>
  <c r="AA5" i="1"/>
  <c r="Y5" i="1"/>
  <c r="X5" i="1"/>
  <c r="AA4" i="1"/>
  <c r="Y4" i="1"/>
  <c r="X4" i="1"/>
  <c r="AA3" i="1"/>
  <c r="Y3" i="1"/>
  <c r="X3" i="1"/>
  <c r="AA2" i="1"/>
  <c r="Y2" i="1"/>
  <c r="X2" i="1"/>
</calcChain>
</file>

<file path=xl/sharedStrings.xml><?xml version="1.0" encoding="utf-8"?>
<sst xmlns="http://schemas.openxmlformats.org/spreadsheetml/2006/main" count="462" uniqueCount="172">
  <si>
    <t>Pers.no.</t>
  </si>
  <si>
    <t>Last name</t>
  </si>
  <si>
    <t>First name</t>
  </si>
  <si>
    <t>Age of employee</t>
  </si>
  <si>
    <t>Gender Key</t>
  </si>
  <si>
    <t>Country</t>
  </si>
  <si>
    <t>Personnel Subarea</t>
  </si>
  <si>
    <t>Lv</t>
  </si>
  <si>
    <t>Personnel Area</t>
  </si>
  <si>
    <t>Employee Subgroup</t>
  </si>
  <si>
    <t>Name of superior (OM)</t>
  </si>
  <si>
    <t>Date</t>
  </si>
  <si>
    <t>Organizational Key</t>
  </si>
  <si>
    <t>Organizational Unit</t>
  </si>
  <si>
    <t>Employee Group</t>
  </si>
  <si>
    <t>Weekly Hours</t>
  </si>
  <si>
    <t>Empl. %</t>
  </si>
  <si>
    <t>Position</t>
  </si>
  <si>
    <t>Cost Centre Number</t>
  </si>
  <si>
    <t>Cost Centre Description</t>
  </si>
  <si>
    <t>Salaried / Waged</t>
  </si>
  <si>
    <t>Location</t>
  </si>
  <si>
    <t>Status</t>
  </si>
  <si>
    <t>Tenure</t>
  </si>
  <si>
    <t>Month</t>
  </si>
  <si>
    <t>Business Unit</t>
  </si>
  <si>
    <t>Heaphy</t>
  </si>
  <si>
    <t>Bernard</t>
  </si>
  <si>
    <t>Male</t>
  </si>
  <si>
    <t>Australia</t>
  </si>
  <si>
    <t>Hawthorn Day</t>
  </si>
  <si>
    <t>14</t>
  </si>
  <si>
    <t>VIC - GPA - Staff</t>
  </si>
  <si>
    <t>Management Staff</t>
  </si>
  <si>
    <t>Connors , Timothy</t>
  </si>
  <si>
    <t>Management</t>
  </si>
  <si>
    <t>Business Planning</t>
  </si>
  <si>
    <t>Full Time</t>
  </si>
  <si>
    <t>50005900</t>
  </si>
  <si>
    <t>VP Joint Ventures, Mergers &amp; Acquisition</t>
  </si>
  <si>
    <t>September</t>
  </si>
  <si>
    <t>Abernethy</t>
  </si>
  <si>
    <t>Rodney</t>
  </si>
  <si>
    <t>Sydney</t>
  </si>
  <si>
    <t>G7</t>
  </si>
  <si>
    <t>NSW - GPA - Wages</t>
  </si>
  <si>
    <t>Wages Glass</t>
  </si>
  <si>
    <t>Carter , Greg</t>
  </si>
  <si>
    <t>Manufacturing &amp; Engineering</t>
  </si>
  <si>
    <t>A Shift</t>
  </si>
  <si>
    <t>669</t>
  </si>
  <si>
    <t>LINE LEADER</t>
  </si>
  <si>
    <t>Annear</t>
  </si>
  <si>
    <t>Graeme</t>
  </si>
  <si>
    <t>G4</t>
  </si>
  <si>
    <t>Ayliffe , Chris</t>
  </si>
  <si>
    <t>D Shift</t>
  </si>
  <si>
    <t>782</t>
  </si>
  <si>
    <t>MULTI SKILLED OPERATOR</t>
  </si>
  <si>
    <t>Attard</t>
  </si>
  <si>
    <t>John</t>
  </si>
  <si>
    <t>G2</t>
  </si>
  <si>
    <t>805</t>
  </si>
  <si>
    <t>GENERAL PLANT OPERATOR</t>
  </si>
  <si>
    <t>Charlie</t>
  </si>
  <si>
    <t>803</t>
  </si>
  <si>
    <t>Baldacchino</t>
  </si>
  <si>
    <t>Wayne</t>
  </si>
  <si>
    <t>Christensen , Leo</t>
  </si>
  <si>
    <t>C Shift</t>
  </si>
  <si>
    <t>740</t>
  </si>
  <si>
    <t>Barry</t>
  </si>
  <si>
    <t>Allen</t>
  </si>
  <si>
    <t>6</t>
  </si>
  <si>
    <t>Wages Metals</t>
  </si>
  <si>
    <t>Fahy , Dave</t>
  </si>
  <si>
    <t>Plant Mechanical Sydney</t>
  </si>
  <si>
    <t>632</t>
  </si>
  <si>
    <t>Fitter</t>
  </si>
  <si>
    <t>Baweja</t>
  </si>
  <si>
    <t>Gurdev</t>
  </si>
  <si>
    <t>7</t>
  </si>
  <si>
    <t>Torvi , Girish</t>
  </si>
  <si>
    <t>Mould Repair</t>
  </si>
  <si>
    <t>602</t>
  </si>
  <si>
    <t>Mechanical Trades Special Class</t>
  </si>
  <si>
    <t>Bielderman</t>
  </si>
  <si>
    <t>Hendrikus</t>
  </si>
  <si>
    <t>G5</t>
  </si>
  <si>
    <t>800</t>
  </si>
  <si>
    <t>PROCESS SPECIALIST</t>
  </si>
  <si>
    <t>Blanchard</t>
  </si>
  <si>
    <t>Glenn</t>
  </si>
  <si>
    <t>743</t>
  </si>
  <si>
    <t>Bohan</t>
  </si>
  <si>
    <t>Michael</t>
  </si>
  <si>
    <t>Thomson , Benjamin</t>
  </si>
  <si>
    <t>B Shift</t>
  </si>
  <si>
    <t>701</t>
  </si>
  <si>
    <t>Bootle</t>
  </si>
  <si>
    <t>Brian</t>
  </si>
  <si>
    <t>727</t>
  </si>
  <si>
    <t>Brinckley</t>
  </si>
  <si>
    <t>Scott</t>
  </si>
  <si>
    <t>716</t>
  </si>
  <si>
    <t>Brown</t>
  </si>
  <si>
    <t>Veronica</t>
  </si>
  <si>
    <t>Female</t>
  </si>
  <si>
    <t>G3</t>
  </si>
  <si>
    <t>Hubbard , Andrew</t>
  </si>
  <si>
    <t>Audit</t>
  </si>
  <si>
    <t>534</t>
  </si>
  <si>
    <t>Quality Controller</t>
  </si>
  <si>
    <t>Bryce</t>
  </si>
  <si>
    <t>Jeffrey</t>
  </si>
  <si>
    <t>714</t>
  </si>
  <si>
    <t>Bull</t>
  </si>
  <si>
    <t>Nigel</t>
  </si>
  <si>
    <t>780</t>
  </si>
  <si>
    <t>Burns</t>
  </si>
  <si>
    <t>Alexander</t>
  </si>
  <si>
    <t>773</t>
  </si>
  <si>
    <t>Cartwright</t>
  </si>
  <si>
    <t>Stephen</t>
  </si>
  <si>
    <t>704</t>
  </si>
  <si>
    <t>Cowan</t>
  </si>
  <si>
    <t>801</t>
  </si>
  <si>
    <t>Debien</t>
  </si>
  <si>
    <t>Sean</t>
  </si>
  <si>
    <t>666</t>
  </si>
  <si>
    <t>Di-Costanzo</t>
  </si>
  <si>
    <t>Theo</t>
  </si>
  <si>
    <t>08</t>
  </si>
  <si>
    <t>NSW - GPA - Staff</t>
  </si>
  <si>
    <t>Salaried Staff</t>
  </si>
  <si>
    <t>Mazenauer , Andrew</t>
  </si>
  <si>
    <t>Production Support</t>
  </si>
  <si>
    <t>50006203</t>
  </si>
  <si>
    <t>Cold End Coord &amp; Inspection Specialist</t>
  </si>
  <si>
    <t>Elven</t>
  </si>
  <si>
    <t>Greg</t>
  </si>
  <si>
    <t>795</t>
  </si>
  <si>
    <t>Evans</t>
  </si>
  <si>
    <t>Geoffrey</t>
  </si>
  <si>
    <t>50006659</t>
  </si>
  <si>
    <t>multi skilled operator</t>
  </si>
  <si>
    <t>Neil</t>
  </si>
  <si>
    <t>756</t>
  </si>
  <si>
    <t>Fenton</t>
  </si>
  <si>
    <t>660</t>
  </si>
  <si>
    <t>Fisher</t>
  </si>
  <si>
    <t>Paul</t>
  </si>
  <si>
    <t>09</t>
  </si>
  <si>
    <t>Urteaga , Alexis</t>
  </si>
  <si>
    <t>Quality Services</t>
  </si>
  <si>
    <t>50005936</t>
  </si>
  <si>
    <t>Quality Services Manager</t>
  </si>
  <si>
    <t>Folan</t>
  </si>
  <si>
    <t>Andrew</t>
  </si>
  <si>
    <t/>
  </si>
  <si>
    <t>50004735</t>
  </si>
  <si>
    <t>Line Manager</t>
  </si>
  <si>
    <t>Forbes</t>
  </si>
  <si>
    <t>Ian</t>
  </si>
  <si>
    <t>5</t>
  </si>
  <si>
    <t>Balkin , Andrew</t>
  </si>
  <si>
    <t>Plant Electrical Sydney</t>
  </si>
  <si>
    <t>875</t>
  </si>
  <si>
    <t>ELECTRICIAN</t>
  </si>
  <si>
    <t>Gatt</t>
  </si>
  <si>
    <t>George</t>
  </si>
  <si>
    <t>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</si>
</sst>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14" fontId="0" fillId="2" borderId="1" xfId="0" applyNumberFormat="1" applyFill="1" applyBorder="1" applyAlignment="1">
      <alignment vertical="top"/>
    </xf>
    <xf numFmtId="0" fontId="0" fillId="2" borderId="2" xfId="0" applyFill="1" applyBorder="1" applyAlignment="1">
      <alignment vertical="top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vertical="top"/>
    </xf>
    <xf numFmtId="1" fontId="1" fillId="3" borderId="1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1" fillId="0" borderId="0" xfId="0" applyFont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1" fillId="3" borderId="0" xfId="0" applyFont="1" applyFill="1" applyAlignment="1">
      <alignment horizontal="left" vertical="top"/>
    </xf>
    <xf numFmtId="2" fontId="0" fillId="3" borderId="0" xfId="0" applyNumberFormat="1" applyFill="1" applyAlignment="1">
      <alignment horizontal="right" vertical="top"/>
    </xf>
    <xf numFmtId="1" fontId="0" fillId="3" borderId="0" xfId="0" applyNumberFormat="1" applyFill="1" applyAlignment="1">
      <alignment horizontal="right" vertical="top"/>
    </xf>
    <xf numFmtId="0" fontId="1" fillId="3" borderId="0" xfId="0" applyFont="1" applyFill="1" applyAlignment="1">
      <alignment vertical="top"/>
    </xf>
    <xf numFmtId="14" fontId="0" fillId="0" borderId="0" xfId="0" applyNumberFormat="1" applyAlignment="1">
      <alignment vertical="top"/>
    </xf>
    <xf numFmtId="0" fontId="0" fillId="3" borderId="0" xfId="0" applyFill="1" applyAlignment="1">
      <alignment vertical="top"/>
    </xf>
    <xf numFmtId="1" fontId="0" fillId="3" borderId="0" xfId="0" applyNumberForma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57F4-9B61-4479-A939-E39DA09EA88B}">
  <dimension ref="A1:AA30"/>
  <sheetViews>
    <sheetView tabSelected="1" workbookViewId="0">
      <selection activeCell="E31" sqref="A31:XFD15298"/>
    </sheetView>
  </sheetViews>
  <sheetFormatPr defaultColWidth="8.85546875" defaultRowHeight="12.75" x14ac:dyDescent="0.2"/>
  <cols>
    <col min="1" max="1" width="10" style="9" bestFit="1" customWidth="1"/>
    <col min="2" max="2" width="23.7109375" style="9" bestFit="1" customWidth="1"/>
    <col min="3" max="3" width="9" style="9" customWidth="1"/>
    <col min="4" max="4" width="11" style="9" customWidth="1"/>
    <col min="5" max="6" width="12" style="9" customWidth="1"/>
    <col min="7" max="7" width="16.28515625" style="9" customWidth="1"/>
    <col min="8" max="8" width="4" style="9" customWidth="1"/>
    <col min="9" max="10" width="19" style="9" bestFit="1" customWidth="1"/>
    <col min="11" max="11" width="18.7109375" style="9" customWidth="1"/>
    <col min="12" max="12" width="13" style="18" bestFit="1" customWidth="1"/>
    <col min="13" max="13" width="29" style="9" bestFit="1" customWidth="1"/>
    <col min="14" max="14" width="23.42578125" style="9" customWidth="1"/>
    <col min="15" max="15" width="16" style="9" bestFit="1" customWidth="1"/>
    <col min="16" max="16" width="16" style="9" customWidth="1"/>
    <col min="17" max="17" width="9" style="9" bestFit="1" customWidth="1"/>
    <col min="18" max="18" width="10" style="9" bestFit="1" customWidth="1"/>
    <col min="19" max="19" width="42.28515625" style="9" bestFit="1" customWidth="1"/>
    <col min="20" max="20" width="13" style="9" customWidth="1"/>
    <col min="21" max="21" width="23.28515625" style="9" bestFit="1" customWidth="1"/>
    <col min="22" max="22" width="23.28515625" style="9" customWidth="1"/>
    <col min="23" max="23" width="13" style="14" customWidth="1"/>
    <col min="24" max="24" width="13" style="19" customWidth="1"/>
    <col min="25" max="25" width="13" style="20" customWidth="1"/>
    <col min="26" max="26" width="8.85546875" style="19"/>
    <col min="27" max="27" width="16.85546875" style="17" bestFit="1" customWidth="1"/>
    <col min="28" max="16384" width="8.85546875" style="9"/>
  </cols>
  <sheetData>
    <row r="1" spans="1:27" ht="25.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17</v>
      </c>
      <c r="T1" s="1" t="s">
        <v>18</v>
      </c>
      <c r="U1" s="5" t="s">
        <v>19</v>
      </c>
      <c r="V1" s="5" t="s">
        <v>20</v>
      </c>
      <c r="W1" s="6" t="s">
        <v>21</v>
      </c>
      <c r="X1" s="7" t="s">
        <v>22</v>
      </c>
      <c r="Y1" s="8" t="s">
        <v>23</v>
      </c>
      <c r="Z1" s="7" t="s">
        <v>24</v>
      </c>
      <c r="AA1" s="7" t="s">
        <v>25</v>
      </c>
    </row>
    <row r="2" spans="1:27" x14ac:dyDescent="0.2">
      <c r="A2" s="9">
        <v>16</v>
      </c>
      <c r="B2" s="9" t="s">
        <v>26</v>
      </c>
      <c r="C2" s="9" t="s">
        <v>27</v>
      </c>
      <c r="D2" s="10">
        <v>53</v>
      </c>
      <c r="E2" s="9" t="s">
        <v>28</v>
      </c>
      <c r="F2" s="11" t="s">
        <v>29</v>
      </c>
      <c r="G2" s="9" t="s">
        <v>30</v>
      </c>
      <c r="H2" s="9" t="s">
        <v>31</v>
      </c>
      <c r="I2" s="9" t="s">
        <v>32</v>
      </c>
      <c r="J2" s="9" t="s">
        <v>33</v>
      </c>
      <c r="K2" s="9" t="s">
        <v>34</v>
      </c>
      <c r="L2" s="12">
        <v>35205</v>
      </c>
      <c r="M2" s="9" t="s">
        <v>35</v>
      </c>
      <c r="N2" s="9" t="s">
        <v>36</v>
      </c>
      <c r="O2" s="9" t="s">
        <v>37</v>
      </c>
      <c r="Q2" s="13">
        <v>100</v>
      </c>
      <c r="R2" s="9" t="s">
        <v>38</v>
      </c>
      <c r="S2" s="9" t="s">
        <v>39</v>
      </c>
      <c r="X2" s="15" t="str">
        <f t="shared" ref="X2:X30" si="0">IF(OR(O2="Full time",O2="part time",O2="casual"),"Permanent","Temporary")</f>
        <v>Permanent</v>
      </c>
      <c r="Y2" s="16">
        <f t="shared" ref="Y2:Y30" ca="1" si="1">DATEDIF(L2,TODAY(),"y")</f>
        <v>29</v>
      </c>
      <c r="Z2" s="17" t="s">
        <v>40</v>
      </c>
      <c r="AA2" s="17" t="str">
        <f t="shared" ref="AA2:AA30" si="2">IF(T2=4290,"Regional",IF(T2=4291,"Regional",IF(T2=4296,"Regional",IF(T2=4301,"Regional",IF(T2=4305,"Regional",IF(T2=4306,"Regional",IF(T2=4350,"Regional",IF(T2=4361,"Regional",IF(T2=4362,"Regional",IF(T2=4365,"Regional",IF(T2=4420,"Regional",IF(T2=4430,"Regional",IF(T2=4431,"Regional",IF(T2=4441,"Regional",IF(T2=4445,"Regional",IF(T2=4446,"Regional",IF(T2=4450,"Regional",IF(T2=4455,"Regional",IF(T2=4460,"Regional",IF(T2=4470,"Regional",IF(T2=4475,"Regional",IF(T2=4480,"Regional",IF(T2=4490,"Regional",IF(T2=4500,"Regional",IF(T2=4510,"Regional",IF(T2=4515,"Regional",IF(T2=4520,"Regional",IF(T2=4800,"Regional",IF(T2=4810,"Regional",IF(T2=4812,"Regional",IF(T2=4813,"Regional",IF(T2=4814,"Regional",IF(T2=4815,"Regional",IF(T2=4816,"Regional",IF(T2=4817,"Regional",IF(T2=4820,"Regional",IF(T2=4440,"Regional",IF(T2=4308,"Regional",IF(T2=1310,"Regional",IF(T2=1400,"Regional","ANZ Business Unit"))))))))))))))))))))))))))))))))))))))))</f>
        <v>ANZ Business Unit</v>
      </c>
    </row>
    <row r="3" spans="1:27" x14ac:dyDescent="0.2">
      <c r="A3" s="9">
        <v>288</v>
      </c>
      <c r="B3" s="9" t="s">
        <v>41</v>
      </c>
      <c r="C3" s="9" t="s">
        <v>42</v>
      </c>
      <c r="D3" s="10">
        <v>52</v>
      </c>
      <c r="E3" s="9" t="s">
        <v>28</v>
      </c>
      <c r="F3" s="11" t="s">
        <v>29</v>
      </c>
      <c r="G3" s="11" t="s">
        <v>43</v>
      </c>
      <c r="H3" s="9" t="s">
        <v>44</v>
      </c>
      <c r="I3" s="9" t="s">
        <v>45</v>
      </c>
      <c r="J3" s="9" t="s">
        <v>46</v>
      </c>
      <c r="K3" s="9" t="s">
        <v>47</v>
      </c>
      <c r="L3" s="12">
        <v>34386</v>
      </c>
      <c r="M3" s="9" t="s">
        <v>48</v>
      </c>
      <c r="N3" s="9" t="s">
        <v>49</v>
      </c>
      <c r="O3" s="9" t="s">
        <v>37</v>
      </c>
      <c r="Q3" s="13">
        <v>100</v>
      </c>
      <c r="R3" s="9" t="s">
        <v>50</v>
      </c>
      <c r="S3" s="9" t="s">
        <v>51</v>
      </c>
      <c r="X3" s="15" t="str">
        <f t="shared" si="0"/>
        <v>Permanent</v>
      </c>
      <c r="Y3" s="16">
        <f t="shared" ca="1" si="1"/>
        <v>32</v>
      </c>
      <c r="Z3" s="17" t="s">
        <v>40</v>
      </c>
      <c r="AA3" s="17" t="str">
        <f t="shared" si="2"/>
        <v>ANZ Business Unit</v>
      </c>
    </row>
    <row r="4" spans="1:27" x14ac:dyDescent="0.2">
      <c r="A4" s="9">
        <v>293</v>
      </c>
      <c r="B4" s="9" t="s">
        <v>52</v>
      </c>
      <c r="C4" s="9" t="s">
        <v>53</v>
      </c>
      <c r="D4" s="10">
        <v>57</v>
      </c>
      <c r="E4" s="9" t="s">
        <v>28</v>
      </c>
      <c r="F4" s="11" t="s">
        <v>29</v>
      </c>
      <c r="G4" s="11" t="s">
        <v>43</v>
      </c>
      <c r="H4" s="9" t="s">
        <v>54</v>
      </c>
      <c r="I4" s="9" t="s">
        <v>45</v>
      </c>
      <c r="J4" s="9" t="s">
        <v>46</v>
      </c>
      <c r="K4" s="9" t="s">
        <v>55</v>
      </c>
      <c r="L4" s="12">
        <v>36046</v>
      </c>
      <c r="M4" s="9" t="s">
        <v>48</v>
      </c>
      <c r="N4" s="9" t="s">
        <v>56</v>
      </c>
      <c r="O4" s="9" t="s">
        <v>37</v>
      </c>
      <c r="Q4" s="13">
        <v>100</v>
      </c>
      <c r="R4" s="9" t="s">
        <v>57</v>
      </c>
      <c r="S4" s="9" t="s">
        <v>58</v>
      </c>
      <c r="X4" s="15" t="str">
        <f t="shared" si="0"/>
        <v>Permanent</v>
      </c>
      <c r="Y4" s="16">
        <f t="shared" ca="1" si="1"/>
        <v>27</v>
      </c>
      <c r="Z4" s="17" t="s">
        <v>40</v>
      </c>
      <c r="AA4" s="17" t="str">
        <f t="shared" si="2"/>
        <v>ANZ Business Unit</v>
      </c>
    </row>
    <row r="5" spans="1:27" x14ac:dyDescent="0.2">
      <c r="A5" s="9">
        <v>295</v>
      </c>
      <c r="B5" s="9" t="s">
        <v>59</v>
      </c>
      <c r="C5" s="9" t="s">
        <v>60</v>
      </c>
      <c r="D5" s="10">
        <v>64</v>
      </c>
      <c r="E5" s="9" t="s">
        <v>28</v>
      </c>
      <c r="F5" s="11" t="s">
        <v>29</v>
      </c>
      <c r="G5" s="11" t="s">
        <v>43</v>
      </c>
      <c r="H5" s="9" t="s">
        <v>61</v>
      </c>
      <c r="I5" s="9" t="s">
        <v>45</v>
      </c>
      <c r="J5" s="9" t="s">
        <v>46</v>
      </c>
      <c r="K5" s="9" t="s">
        <v>55</v>
      </c>
      <c r="L5" s="12">
        <v>32432</v>
      </c>
      <c r="M5" s="9" t="s">
        <v>48</v>
      </c>
      <c r="N5" s="9" t="s">
        <v>56</v>
      </c>
      <c r="O5" s="9" t="s">
        <v>37</v>
      </c>
      <c r="Q5" s="13">
        <v>100</v>
      </c>
      <c r="R5" s="9" t="s">
        <v>62</v>
      </c>
      <c r="S5" s="9" t="s">
        <v>63</v>
      </c>
      <c r="X5" s="15" t="str">
        <f t="shared" si="0"/>
        <v>Permanent</v>
      </c>
      <c r="Y5" s="16">
        <f t="shared" ca="1" si="1"/>
        <v>37</v>
      </c>
      <c r="Z5" s="17" t="s">
        <v>40</v>
      </c>
      <c r="AA5" s="17" t="str">
        <f t="shared" si="2"/>
        <v>ANZ Business Unit</v>
      </c>
    </row>
    <row r="6" spans="1:27" x14ac:dyDescent="0.2">
      <c r="A6" s="9">
        <v>297</v>
      </c>
      <c r="B6" s="9" t="s">
        <v>59</v>
      </c>
      <c r="C6" s="9" t="s">
        <v>64</v>
      </c>
      <c r="D6" s="10">
        <v>61</v>
      </c>
      <c r="E6" s="9" t="s">
        <v>28</v>
      </c>
      <c r="F6" s="11" t="s">
        <v>29</v>
      </c>
      <c r="G6" s="11" t="s">
        <v>43</v>
      </c>
      <c r="H6" s="9" t="s">
        <v>54</v>
      </c>
      <c r="I6" s="9" t="s">
        <v>45</v>
      </c>
      <c r="J6" s="9" t="s">
        <v>46</v>
      </c>
      <c r="K6" s="9" t="s">
        <v>55</v>
      </c>
      <c r="L6" s="12">
        <v>32432</v>
      </c>
      <c r="M6" s="9" t="s">
        <v>48</v>
      </c>
      <c r="N6" s="9" t="s">
        <v>56</v>
      </c>
      <c r="O6" s="9" t="s">
        <v>37</v>
      </c>
      <c r="Q6" s="13">
        <v>100</v>
      </c>
      <c r="R6" s="9" t="s">
        <v>65</v>
      </c>
      <c r="S6" s="9" t="s">
        <v>58</v>
      </c>
      <c r="X6" s="15" t="str">
        <f t="shared" si="0"/>
        <v>Permanent</v>
      </c>
      <c r="Y6" s="16">
        <f t="shared" ca="1" si="1"/>
        <v>37</v>
      </c>
      <c r="Z6" s="17" t="s">
        <v>40</v>
      </c>
      <c r="AA6" s="17" t="str">
        <f t="shared" si="2"/>
        <v>ANZ Business Unit</v>
      </c>
    </row>
    <row r="7" spans="1:27" x14ac:dyDescent="0.2">
      <c r="A7" s="9">
        <v>299</v>
      </c>
      <c r="B7" s="9" t="s">
        <v>66</v>
      </c>
      <c r="C7" s="9" t="s">
        <v>67</v>
      </c>
      <c r="D7" s="10">
        <v>48</v>
      </c>
      <c r="E7" s="9" t="s">
        <v>28</v>
      </c>
      <c r="F7" s="11" t="s">
        <v>29</v>
      </c>
      <c r="G7" s="11" t="s">
        <v>43</v>
      </c>
      <c r="H7" s="9" t="s">
        <v>44</v>
      </c>
      <c r="I7" s="9" t="s">
        <v>45</v>
      </c>
      <c r="J7" s="9" t="s">
        <v>46</v>
      </c>
      <c r="K7" s="9" t="s">
        <v>68</v>
      </c>
      <c r="L7" s="12">
        <v>35261</v>
      </c>
      <c r="M7" s="9" t="s">
        <v>48</v>
      </c>
      <c r="N7" s="9" t="s">
        <v>69</v>
      </c>
      <c r="O7" s="9" t="s">
        <v>37</v>
      </c>
      <c r="Q7" s="13">
        <v>100</v>
      </c>
      <c r="R7" s="9" t="s">
        <v>70</v>
      </c>
      <c r="S7" s="9" t="s">
        <v>51</v>
      </c>
      <c r="X7" s="15" t="str">
        <f t="shared" si="0"/>
        <v>Permanent</v>
      </c>
      <c r="Y7" s="16">
        <f t="shared" ca="1" si="1"/>
        <v>29</v>
      </c>
      <c r="Z7" s="17" t="s">
        <v>40</v>
      </c>
      <c r="AA7" s="17" t="str">
        <f t="shared" si="2"/>
        <v>ANZ Business Unit</v>
      </c>
    </row>
    <row r="8" spans="1:27" x14ac:dyDescent="0.2">
      <c r="A8" s="9">
        <v>304</v>
      </c>
      <c r="B8" s="9" t="s">
        <v>71</v>
      </c>
      <c r="C8" s="9" t="s">
        <v>72</v>
      </c>
      <c r="D8" s="10">
        <v>47</v>
      </c>
      <c r="E8" s="9" t="s">
        <v>28</v>
      </c>
      <c r="F8" s="11" t="s">
        <v>29</v>
      </c>
      <c r="G8" s="11" t="s">
        <v>43</v>
      </c>
      <c r="H8" s="9" t="s">
        <v>73</v>
      </c>
      <c r="I8" s="9" t="s">
        <v>45</v>
      </c>
      <c r="J8" s="9" t="s">
        <v>74</v>
      </c>
      <c r="K8" s="9" t="s">
        <v>75</v>
      </c>
      <c r="L8" s="12">
        <v>35170</v>
      </c>
      <c r="M8" s="9" t="s">
        <v>48</v>
      </c>
      <c r="N8" s="9" t="s">
        <v>76</v>
      </c>
      <c r="O8" s="9" t="s">
        <v>37</v>
      </c>
      <c r="Q8" s="13">
        <v>100</v>
      </c>
      <c r="R8" s="9" t="s">
        <v>77</v>
      </c>
      <c r="S8" s="9" t="s">
        <v>78</v>
      </c>
      <c r="X8" s="15" t="str">
        <f t="shared" si="0"/>
        <v>Permanent</v>
      </c>
      <c r="Y8" s="16">
        <f t="shared" ca="1" si="1"/>
        <v>29</v>
      </c>
      <c r="Z8" s="17" t="s">
        <v>40</v>
      </c>
      <c r="AA8" s="17" t="str">
        <f t="shared" si="2"/>
        <v>ANZ Business Unit</v>
      </c>
    </row>
    <row r="9" spans="1:27" x14ac:dyDescent="0.2">
      <c r="A9" s="9">
        <v>305</v>
      </c>
      <c r="B9" s="9" t="s">
        <v>79</v>
      </c>
      <c r="C9" s="9" t="s">
        <v>80</v>
      </c>
      <c r="D9" s="10">
        <v>65</v>
      </c>
      <c r="E9" s="9" t="s">
        <v>28</v>
      </c>
      <c r="F9" s="11" t="s">
        <v>29</v>
      </c>
      <c r="G9" s="11" t="s">
        <v>43</v>
      </c>
      <c r="H9" s="9" t="s">
        <v>81</v>
      </c>
      <c r="I9" s="9" t="s">
        <v>45</v>
      </c>
      <c r="J9" s="9" t="s">
        <v>74</v>
      </c>
      <c r="K9" s="9" t="s">
        <v>82</v>
      </c>
      <c r="L9" s="12">
        <v>34827</v>
      </c>
      <c r="M9" s="9" t="s">
        <v>48</v>
      </c>
      <c r="N9" s="9" t="s">
        <v>83</v>
      </c>
      <c r="O9" s="9" t="s">
        <v>37</v>
      </c>
      <c r="Q9" s="13">
        <v>100</v>
      </c>
      <c r="R9" s="9" t="s">
        <v>84</v>
      </c>
      <c r="S9" s="9" t="s">
        <v>85</v>
      </c>
      <c r="X9" s="15" t="str">
        <f t="shared" si="0"/>
        <v>Permanent</v>
      </c>
      <c r="Y9" s="16">
        <f t="shared" ca="1" si="1"/>
        <v>30</v>
      </c>
      <c r="Z9" s="17" t="s">
        <v>40</v>
      </c>
      <c r="AA9" s="17" t="str">
        <f t="shared" si="2"/>
        <v>ANZ Business Unit</v>
      </c>
    </row>
    <row r="10" spans="1:27" x14ac:dyDescent="0.2">
      <c r="A10" s="9">
        <v>312</v>
      </c>
      <c r="B10" s="9" t="s">
        <v>86</v>
      </c>
      <c r="C10" s="9" t="s">
        <v>87</v>
      </c>
      <c r="D10" s="10">
        <v>54</v>
      </c>
      <c r="E10" s="9" t="s">
        <v>28</v>
      </c>
      <c r="F10" s="11" t="s">
        <v>29</v>
      </c>
      <c r="G10" s="11" t="s">
        <v>43</v>
      </c>
      <c r="H10" s="9" t="s">
        <v>88</v>
      </c>
      <c r="I10" s="9" t="s">
        <v>45</v>
      </c>
      <c r="J10" s="9" t="s">
        <v>46</v>
      </c>
      <c r="K10" s="9" t="s">
        <v>55</v>
      </c>
      <c r="L10" s="12">
        <v>31285</v>
      </c>
      <c r="M10" s="9" t="s">
        <v>48</v>
      </c>
      <c r="N10" s="9" t="s">
        <v>56</v>
      </c>
      <c r="O10" s="9" t="s">
        <v>37</v>
      </c>
      <c r="Q10" s="13">
        <v>100</v>
      </c>
      <c r="R10" s="9" t="s">
        <v>89</v>
      </c>
      <c r="S10" s="9" t="s">
        <v>90</v>
      </c>
      <c r="X10" s="15" t="str">
        <f t="shared" si="0"/>
        <v>Permanent</v>
      </c>
      <c r="Y10" s="16">
        <f t="shared" ca="1" si="1"/>
        <v>40</v>
      </c>
      <c r="Z10" s="17" t="s">
        <v>40</v>
      </c>
      <c r="AA10" s="17" t="str">
        <f t="shared" si="2"/>
        <v>ANZ Business Unit</v>
      </c>
    </row>
    <row r="11" spans="1:27" x14ac:dyDescent="0.2">
      <c r="A11" s="9">
        <v>316</v>
      </c>
      <c r="B11" s="9" t="s">
        <v>91</v>
      </c>
      <c r="C11" s="9" t="s">
        <v>92</v>
      </c>
      <c r="D11" s="10">
        <v>48</v>
      </c>
      <c r="E11" s="9" t="s">
        <v>28</v>
      </c>
      <c r="F11" s="11" t="s">
        <v>29</v>
      </c>
      <c r="G11" s="11" t="s">
        <v>43</v>
      </c>
      <c r="H11" s="9" t="s">
        <v>54</v>
      </c>
      <c r="I11" s="9" t="s">
        <v>45</v>
      </c>
      <c r="J11" s="9" t="s">
        <v>46</v>
      </c>
      <c r="K11" s="9" t="s">
        <v>68</v>
      </c>
      <c r="L11" s="12">
        <v>35037</v>
      </c>
      <c r="M11" s="9" t="s">
        <v>48</v>
      </c>
      <c r="N11" s="9" t="s">
        <v>69</v>
      </c>
      <c r="O11" s="9" t="s">
        <v>37</v>
      </c>
      <c r="Q11" s="13">
        <v>100</v>
      </c>
      <c r="R11" s="9" t="s">
        <v>93</v>
      </c>
      <c r="S11" s="9" t="s">
        <v>58</v>
      </c>
      <c r="X11" s="15" t="str">
        <f t="shared" si="0"/>
        <v>Permanent</v>
      </c>
      <c r="Y11" s="16">
        <f t="shared" ca="1" si="1"/>
        <v>30</v>
      </c>
      <c r="Z11" s="17" t="s">
        <v>40</v>
      </c>
      <c r="AA11" s="17" t="str">
        <f t="shared" si="2"/>
        <v>ANZ Business Unit</v>
      </c>
    </row>
    <row r="12" spans="1:27" x14ac:dyDescent="0.2">
      <c r="A12" s="9">
        <v>320</v>
      </c>
      <c r="B12" s="9" t="s">
        <v>94</v>
      </c>
      <c r="C12" s="9" t="s">
        <v>95</v>
      </c>
      <c r="D12" s="10">
        <v>60</v>
      </c>
      <c r="E12" s="9" t="s">
        <v>28</v>
      </c>
      <c r="F12" s="11" t="s">
        <v>29</v>
      </c>
      <c r="G12" s="11" t="s">
        <v>43</v>
      </c>
      <c r="H12" s="9" t="s">
        <v>54</v>
      </c>
      <c r="I12" s="9" t="s">
        <v>45</v>
      </c>
      <c r="J12" s="9" t="s">
        <v>46</v>
      </c>
      <c r="K12" s="9" t="s">
        <v>96</v>
      </c>
      <c r="L12" s="12">
        <v>33820</v>
      </c>
      <c r="M12" s="9" t="s">
        <v>48</v>
      </c>
      <c r="N12" s="9" t="s">
        <v>97</v>
      </c>
      <c r="O12" s="9" t="s">
        <v>37</v>
      </c>
      <c r="Q12" s="13">
        <v>100</v>
      </c>
      <c r="R12" s="9" t="s">
        <v>98</v>
      </c>
      <c r="S12" s="9" t="s">
        <v>58</v>
      </c>
      <c r="X12" s="15" t="str">
        <f t="shared" si="0"/>
        <v>Permanent</v>
      </c>
      <c r="Y12" s="16">
        <f t="shared" ca="1" si="1"/>
        <v>33</v>
      </c>
      <c r="Z12" s="17" t="s">
        <v>40</v>
      </c>
      <c r="AA12" s="17" t="str">
        <f t="shared" si="2"/>
        <v>ANZ Business Unit</v>
      </c>
    </row>
    <row r="13" spans="1:27" x14ac:dyDescent="0.2">
      <c r="A13" s="9">
        <v>322</v>
      </c>
      <c r="B13" s="9" t="s">
        <v>99</v>
      </c>
      <c r="C13" s="9" t="s">
        <v>100</v>
      </c>
      <c r="D13" s="10">
        <v>55</v>
      </c>
      <c r="E13" s="9" t="s">
        <v>28</v>
      </c>
      <c r="F13" s="11" t="s">
        <v>29</v>
      </c>
      <c r="G13" s="11" t="s">
        <v>43</v>
      </c>
      <c r="H13" s="9" t="s">
        <v>54</v>
      </c>
      <c r="I13" s="9" t="s">
        <v>45</v>
      </c>
      <c r="J13" s="9" t="s">
        <v>46</v>
      </c>
      <c r="K13" s="9" t="s">
        <v>96</v>
      </c>
      <c r="L13" s="12">
        <v>29639</v>
      </c>
      <c r="M13" s="9" t="s">
        <v>48</v>
      </c>
      <c r="N13" s="9" t="s">
        <v>97</v>
      </c>
      <c r="O13" s="9" t="s">
        <v>37</v>
      </c>
      <c r="Q13" s="13">
        <v>100</v>
      </c>
      <c r="R13" s="9" t="s">
        <v>101</v>
      </c>
      <c r="S13" s="9" t="s">
        <v>58</v>
      </c>
      <c r="X13" s="15" t="str">
        <f t="shared" si="0"/>
        <v>Permanent</v>
      </c>
      <c r="Y13" s="16">
        <f t="shared" ca="1" si="1"/>
        <v>45</v>
      </c>
      <c r="Z13" s="17" t="s">
        <v>40</v>
      </c>
      <c r="AA13" s="17" t="str">
        <f t="shared" si="2"/>
        <v>ANZ Business Unit</v>
      </c>
    </row>
    <row r="14" spans="1:27" x14ac:dyDescent="0.2">
      <c r="A14" s="9">
        <v>328</v>
      </c>
      <c r="B14" s="9" t="s">
        <v>102</v>
      </c>
      <c r="C14" s="9" t="s">
        <v>103</v>
      </c>
      <c r="D14" s="10">
        <v>49</v>
      </c>
      <c r="E14" s="9" t="s">
        <v>28</v>
      </c>
      <c r="F14" s="11" t="s">
        <v>29</v>
      </c>
      <c r="G14" s="11" t="s">
        <v>43</v>
      </c>
      <c r="H14" s="9" t="s">
        <v>54</v>
      </c>
      <c r="I14" s="9" t="s">
        <v>45</v>
      </c>
      <c r="J14" s="9" t="s">
        <v>46</v>
      </c>
      <c r="K14" s="9" t="s">
        <v>96</v>
      </c>
      <c r="L14" s="12">
        <v>36353</v>
      </c>
      <c r="M14" s="9" t="s">
        <v>48</v>
      </c>
      <c r="N14" s="9" t="s">
        <v>97</v>
      </c>
      <c r="O14" s="9" t="s">
        <v>37</v>
      </c>
      <c r="Q14" s="13">
        <v>100</v>
      </c>
      <c r="R14" s="9" t="s">
        <v>104</v>
      </c>
      <c r="S14" s="9" t="s">
        <v>58</v>
      </c>
      <c r="X14" s="15" t="str">
        <f t="shared" si="0"/>
        <v>Permanent</v>
      </c>
      <c r="Y14" s="16">
        <f t="shared" ca="1" si="1"/>
        <v>26</v>
      </c>
      <c r="Z14" s="17" t="s">
        <v>40</v>
      </c>
      <c r="AA14" s="17" t="str">
        <f t="shared" si="2"/>
        <v>ANZ Business Unit</v>
      </c>
    </row>
    <row r="15" spans="1:27" x14ac:dyDescent="0.2">
      <c r="A15" s="9">
        <v>332</v>
      </c>
      <c r="B15" s="9" t="s">
        <v>105</v>
      </c>
      <c r="C15" s="9" t="s">
        <v>106</v>
      </c>
      <c r="D15" s="10">
        <v>59</v>
      </c>
      <c r="E15" s="9" t="s">
        <v>107</v>
      </c>
      <c r="F15" s="11" t="s">
        <v>29</v>
      </c>
      <c r="G15" s="11" t="s">
        <v>43</v>
      </c>
      <c r="H15" s="9" t="s">
        <v>108</v>
      </c>
      <c r="I15" s="9" t="s">
        <v>45</v>
      </c>
      <c r="J15" s="9" t="s">
        <v>46</v>
      </c>
      <c r="K15" s="9" t="s">
        <v>109</v>
      </c>
      <c r="L15" s="12">
        <v>30549</v>
      </c>
      <c r="M15" s="9" t="s">
        <v>48</v>
      </c>
      <c r="N15" s="9" t="s">
        <v>110</v>
      </c>
      <c r="O15" s="9" t="s">
        <v>37</v>
      </c>
      <c r="Q15" s="13">
        <v>100</v>
      </c>
      <c r="R15" s="9" t="s">
        <v>111</v>
      </c>
      <c r="S15" s="9" t="s">
        <v>112</v>
      </c>
      <c r="X15" s="15" t="str">
        <f t="shared" si="0"/>
        <v>Permanent</v>
      </c>
      <c r="Y15" s="16">
        <f t="shared" ca="1" si="1"/>
        <v>42</v>
      </c>
      <c r="Z15" s="17" t="s">
        <v>40</v>
      </c>
      <c r="AA15" s="17" t="str">
        <f t="shared" si="2"/>
        <v>ANZ Business Unit</v>
      </c>
    </row>
    <row r="16" spans="1:27" x14ac:dyDescent="0.2">
      <c r="A16" s="9">
        <v>333</v>
      </c>
      <c r="B16" s="9" t="s">
        <v>113</v>
      </c>
      <c r="C16" s="9" t="s">
        <v>114</v>
      </c>
      <c r="D16" s="10">
        <v>53</v>
      </c>
      <c r="E16" s="9" t="s">
        <v>28</v>
      </c>
      <c r="F16" s="11" t="s">
        <v>29</v>
      </c>
      <c r="G16" s="11" t="s">
        <v>43</v>
      </c>
      <c r="H16" s="9" t="s">
        <v>54</v>
      </c>
      <c r="I16" s="9" t="s">
        <v>45</v>
      </c>
      <c r="J16" s="9" t="s">
        <v>46</v>
      </c>
      <c r="K16" s="9" t="s">
        <v>96</v>
      </c>
      <c r="L16" s="12">
        <v>36143</v>
      </c>
      <c r="M16" s="9" t="s">
        <v>48</v>
      </c>
      <c r="N16" s="9" t="s">
        <v>97</v>
      </c>
      <c r="O16" s="9" t="s">
        <v>37</v>
      </c>
      <c r="Q16" s="13">
        <v>100</v>
      </c>
      <c r="R16" s="9" t="s">
        <v>115</v>
      </c>
      <c r="S16" s="9" t="s">
        <v>58</v>
      </c>
      <c r="X16" s="15" t="str">
        <f t="shared" si="0"/>
        <v>Permanent</v>
      </c>
      <c r="Y16" s="16">
        <f t="shared" ca="1" si="1"/>
        <v>27</v>
      </c>
      <c r="Z16" s="17" t="s">
        <v>40</v>
      </c>
      <c r="AA16" s="17" t="str">
        <f t="shared" si="2"/>
        <v>ANZ Business Unit</v>
      </c>
    </row>
    <row r="17" spans="1:27" x14ac:dyDescent="0.2">
      <c r="A17" s="9">
        <v>335</v>
      </c>
      <c r="B17" s="9" t="s">
        <v>116</v>
      </c>
      <c r="C17" s="9" t="s">
        <v>117</v>
      </c>
      <c r="D17" s="10">
        <v>46</v>
      </c>
      <c r="E17" s="9" t="s">
        <v>28</v>
      </c>
      <c r="F17" s="11" t="s">
        <v>29</v>
      </c>
      <c r="G17" s="11" t="s">
        <v>43</v>
      </c>
      <c r="H17" s="9" t="s">
        <v>44</v>
      </c>
      <c r="I17" s="9" t="s">
        <v>45</v>
      </c>
      <c r="J17" s="9" t="s">
        <v>46</v>
      </c>
      <c r="K17" s="9" t="s">
        <v>55</v>
      </c>
      <c r="L17" s="12">
        <v>34990</v>
      </c>
      <c r="M17" s="9" t="s">
        <v>48</v>
      </c>
      <c r="N17" s="9" t="s">
        <v>56</v>
      </c>
      <c r="O17" s="9" t="s">
        <v>37</v>
      </c>
      <c r="Q17" s="13">
        <v>100</v>
      </c>
      <c r="R17" s="9" t="s">
        <v>118</v>
      </c>
      <c r="S17" s="9" t="s">
        <v>51</v>
      </c>
      <c r="X17" s="15" t="str">
        <f t="shared" si="0"/>
        <v>Permanent</v>
      </c>
      <c r="Y17" s="16">
        <f t="shared" ca="1" si="1"/>
        <v>30</v>
      </c>
      <c r="Z17" s="17" t="s">
        <v>40</v>
      </c>
      <c r="AA17" s="17" t="str">
        <f t="shared" si="2"/>
        <v>ANZ Business Unit</v>
      </c>
    </row>
    <row r="18" spans="1:27" x14ac:dyDescent="0.2">
      <c r="A18" s="9">
        <v>336</v>
      </c>
      <c r="B18" s="9" t="s">
        <v>119</v>
      </c>
      <c r="C18" s="9" t="s">
        <v>120</v>
      </c>
      <c r="D18" s="10">
        <v>55</v>
      </c>
      <c r="E18" s="9" t="s">
        <v>28</v>
      </c>
      <c r="F18" s="11" t="s">
        <v>29</v>
      </c>
      <c r="G18" s="11" t="s">
        <v>43</v>
      </c>
      <c r="H18" s="9" t="s">
        <v>44</v>
      </c>
      <c r="I18" s="9" t="s">
        <v>45</v>
      </c>
      <c r="J18" s="9" t="s">
        <v>46</v>
      </c>
      <c r="K18" s="9" t="s">
        <v>55</v>
      </c>
      <c r="L18" s="12">
        <v>31515</v>
      </c>
      <c r="M18" s="9" t="s">
        <v>48</v>
      </c>
      <c r="N18" s="9" t="s">
        <v>56</v>
      </c>
      <c r="O18" s="9" t="s">
        <v>37</v>
      </c>
      <c r="Q18" s="13">
        <v>100</v>
      </c>
      <c r="R18" s="9" t="s">
        <v>121</v>
      </c>
      <c r="S18" s="9" t="s">
        <v>51</v>
      </c>
      <c r="X18" s="15" t="str">
        <f t="shared" si="0"/>
        <v>Permanent</v>
      </c>
      <c r="Y18" s="16">
        <f t="shared" ca="1" si="1"/>
        <v>39</v>
      </c>
      <c r="Z18" s="17" t="s">
        <v>40</v>
      </c>
      <c r="AA18" s="17" t="str">
        <f t="shared" si="2"/>
        <v>ANZ Business Unit</v>
      </c>
    </row>
    <row r="19" spans="1:27" x14ac:dyDescent="0.2">
      <c r="A19" s="9">
        <v>345</v>
      </c>
      <c r="B19" s="9" t="s">
        <v>122</v>
      </c>
      <c r="C19" s="9" t="s">
        <v>123</v>
      </c>
      <c r="D19" s="10">
        <v>58</v>
      </c>
      <c r="E19" s="9" t="s">
        <v>28</v>
      </c>
      <c r="F19" s="11" t="s">
        <v>29</v>
      </c>
      <c r="G19" s="11" t="s">
        <v>43</v>
      </c>
      <c r="H19" s="9" t="s">
        <v>88</v>
      </c>
      <c r="I19" s="9" t="s">
        <v>45</v>
      </c>
      <c r="J19" s="9" t="s">
        <v>46</v>
      </c>
      <c r="K19" s="9" t="s">
        <v>96</v>
      </c>
      <c r="L19" s="12">
        <v>32747</v>
      </c>
      <c r="M19" s="9" t="s">
        <v>48</v>
      </c>
      <c r="N19" s="9" t="s">
        <v>56</v>
      </c>
      <c r="O19" s="9" t="s">
        <v>37</v>
      </c>
      <c r="Q19" s="13">
        <v>100</v>
      </c>
      <c r="R19" s="9" t="s">
        <v>124</v>
      </c>
      <c r="S19" s="9" t="s">
        <v>90</v>
      </c>
      <c r="X19" s="15" t="str">
        <f t="shared" si="0"/>
        <v>Permanent</v>
      </c>
      <c r="Y19" s="16">
        <f t="shared" ca="1" si="1"/>
        <v>36</v>
      </c>
      <c r="Z19" s="17" t="s">
        <v>40</v>
      </c>
      <c r="AA19" s="17" t="str">
        <f t="shared" si="2"/>
        <v>ANZ Business Unit</v>
      </c>
    </row>
    <row r="20" spans="1:27" x14ac:dyDescent="0.2">
      <c r="A20" s="9">
        <v>353</v>
      </c>
      <c r="B20" s="9" t="s">
        <v>125</v>
      </c>
      <c r="C20" s="9" t="s">
        <v>123</v>
      </c>
      <c r="D20" s="10">
        <v>49</v>
      </c>
      <c r="E20" s="9" t="s">
        <v>28</v>
      </c>
      <c r="F20" s="11" t="s">
        <v>29</v>
      </c>
      <c r="G20" s="11" t="s">
        <v>43</v>
      </c>
      <c r="H20" s="9" t="s">
        <v>108</v>
      </c>
      <c r="I20" s="9" t="s">
        <v>45</v>
      </c>
      <c r="J20" s="9" t="s">
        <v>46</v>
      </c>
      <c r="K20" s="9" t="s">
        <v>55</v>
      </c>
      <c r="L20" s="12">
        <v>32937</v>
      </c>
      <c r="M20" s="9" t="s">
        <v>48</v>
      </c>
      <c r="N20" s="9" t="s">
        <v>56</v>
      </c>
      <c r="O20" s="9" t="s">
        <v>37</v>
      </c>
      <c r="Q20" s="13">
        <v>100</v>
      </c>
      <c r="R20" s="9" t="s">
        <v>126</v>
      </c>
      <c r="S20" s="9" t="s">
        <v>58</v>
      </c>
      <c r="X20" s="15" t="str">
        <f t="shared" si="0"/>
        <v>Permanent</v>
      </c>
      <c r="Y20" s="16">
        <f t="shared" ca="1" si="1"/>
        <v>36</v>
      </c>
      <c r="Z20" s="17" t="s">
        <v>40</v>
      </c>
      <c r="AA20" s="17" t="str">
        <f t="shared" si="2"/>
        <v>ANZ Business Unit</v>
      </c>
    </row>
    <row r="21" spans="1:27" x14ac:dyDescent="0.2">
      <c r="A21" s="9">
        <v>359</v>
      </c>
      <c r="B21" s="9" t="s">
        <v>127</v>
      </c>
      <c r="C21" s="9" t="s">
        <v>128</v>
      </c>
      <c r="D21" s="10">
        <v>48</v>
      </c>
      <c r="E21" s="9" t="s">
        <v>28</v>
      </c>
      <c r="F21" s="11" t="s">
        <v>29</v>
      </c>
      <c r="G21" s="11" t="s">
        <v>43</v>
      </c>
      <c r="H21" s="9" t="s">
        <v>54</v>
      </c>
      <c r="I21" s="9" t="s">
        <v>45</v>
      </c>
      <c r="J21" s="9" t="s">
        <v>46</v>
      </c>
      <c r="K21" s="9" t="s">
        <v>47</v>
      </c>
      <c r="L21" s="12">
        <v>34077</v>
      </c>
      <c r="M21" s="9" t="s">
        <v>48</v>
      </c>
      <c r="N21" s="9" t="s">
        <v>49</v>
      </c>
      <c r="O21" s="9" t="s">
        <v>37</v>
      </c>
      <c r="Q21" s="13">
        <v>100</v>
      </c>
      <c r="R21" s="9" t="s">
        <v>129</v>
      </c>
      <c r="S21" s="9" t="s">
        <v>58</v>
      </c>
      <c r="X21" s="15" t="str">
        <f t="shared" si="0"/>
        <v>Permanent</v>
      </c>
      <c r="Y21" s="16">
        <f t="shared" ca="1" si="1"/>
        <v>32</v>
      </c>
      <c r="Z21" s="17" t="s">
        <v>40</v>
      </c>
      <c r="AA21" s="17" t="str">
        <f t="shared" si="2"/>
        <v>ANZ Business Unit</v>
      </c>
    </row>
    <row r="22" spans="1:27" x14ac:dyDescent="0.2">
      <c r="A22" s="9">
        <v>362</v>
      </c>
      <c r="B22" s="9" t="s">
        <v>130</v>
      </c>
      <c r="C22" s="9" t="s">
        <v>131</v>
      </c>
      <c r="D22" s="10">
        <v>55</v>
      </c>
      <c r="E22" s="9" t="s">
        <v>28</v>
      </c>
      <c r="F22" s="11" t="s">
        <v>29</v>
      </c>
      <c r="G22" s="11" t="s">
        <v>43</v>
      </c>
      <c r="H22" s="9" t="s">
        <v>132</v>
      </c>
      <c r="I22" s="9" t="s">
        <v>133</v>
      </c>
      <c r="J22" s="9" t="s">
        <v>134</v>
      </c>
      <c r="K22" s="9" t="s">
        <v>135</v>
      </c>
      <c r="L22" s="12">
        <v>34533</v>
      </c>
      <c r="M22" s="9" t="s">
        <v>48</v>
      </c>
      <c r="N22" s="9" t="s">
        <v>136</v>
      </c>
      <c r="O22" s="9" t="s">
        <v>37</v>
      </c>
      <c r="Q22" s="13">
        <v>100</v>
      </c>
      <c r="R22" s="9" t="s">
        <v>137</v>
      </c>
      <c r="S22" s="9" t="s">
        <v>138</v>
      </c>
      <c r="X22" s="15" t="str">
        <f t="shared" si="0"/>
        <v>Permanent</v>
      </c>
      <c r="Y22" s="16">
        <f t="shared" ca="1" si="1"/>
        <v>31</v>
      </c>
      <c r="Z22" s="17" t="s">
        <v>40</v>
      </c>
      <c r="AA22" s="17" t="str">
        <f t="shared" si="2"/>
        <v>ANZ Business Unit</v>
      </c>
    </row>
    <row r="23" spans="1:27" x14ac:dyDescent="0.2">
      <c r="A23" s="9">
        <v>368</v>
      </c>
      <c r="B23" s="9" t="s">
        <v>139</v>
      </c>
      <c r="C23" s="9" t="s">
        <v>140</v>
      </c>
      <c r="D23" s="10">
        <v>51</v>
      </c>
      <c r="E23" s="9" t="s">
        <v>28</v>
      </c>
      <c r="F23" s="11" t="s">
        <v>29</v>
      </c>
      <c r="G23" s="11" t="s">
        <v>43</v>
      </c>
      <c r="H23" s="9" t="s">
        <v>88</v>
      </c>
      <c r="I23" s="9" t="s">
        <v>45</v>
      </c>
      <c r="J23" s="9" t="s">
        <v>46</v>
      </c>
      <c r="K23" s="9" t="s">
        <v>55</v>
      </c>
      <c r="L23" s="12">
        <v>34035</v>
      </c>
      <c r="M23" s="9" t="s">
        <v>48</v>
      </c>
      <c r="N23" s="9" t="s">
        <v>97</v>
      </c>
      <c r="O23" s="9" t="s">
        <v>37</v>
      </c>
      <c r="Q23" s="13">
        <v>100</v>
      </c>
      <c r="R23" s="9" t="s">
        <v>141</v>
      </c>
      <c r="S23" s="9" t="s">
        <v>90</v>
      </c>
      <c r="X23" s="15" t="str">
        <f t="shared" si="0"/>
        <v>Permanent</v>
      </c>
      <c r="Y23" s="16">
        <f t="shared" ca="1" si="1"/>
        <v>33</v>
      </c>
      <c r="Z23" s="17" t="s">
        <v>40</v>
      </c>
      <c r="AA23" s="17" t="str">
        <f t="shared" si="2"/>
        <v>ANZ Business Unit</v>
      </c>
    </row>
    <row r="24" spans="1:27" x14ac:dyDescent="0.2">
      <c r="A24" s="9">
        <v>369</v>
      </c>
      <c r="B24" s="9" t="s">
        <v>142</v>
      </c>
      <c r="C24" s="9" t="s">
        <v>143</v>
      </c>
      <c r="D24" s="10">
        <v>54</v>
      </c>
      <c r="E24" s="9" t="s">
        <v>28</v>
      </c>
      <c r="F24" s="11" t="s">
        <v>29</v>
      </c>
      <c r="G24" s="11" t="s">
        <v>43</v>
      </c>
      <c r="H24" s="9" t="s">
        <v>54</v>
      </c>
      <c r="I24" s="9" t="s">
        <v>45</v>
      </c>
      <c r="J24" s="9" t="s">
        <v>46</v>
      </c>
      <c r="K24" s="9" t="s">
        <v>68</v>
      </c>
      <c r="L24" s="12">
        <v>32818</v>
      </c>
      <c r="M24" s="9" t="s">
        <v>48</v>
      </c>
      <c r="N24" s="9" t="s">
        <v>69</v>
      </c>
      <c r="O24" s="9" t="s">
        <v>37</v>
      </c>
      <c r="Q24" s="13">
        <v>100</v>
      </c>
      <c r="R24" s="9" t="s">
        <v>144</v>
      </c>
      <c r="S24" s="9" t="s">
        <v>145</v>
      </c>
      <c r="X24" s="15" t="str">
        <f t="shared" si="0"/>
        <v>Permanent</v>
      </c>
      <c r="Y24" s="16">
        <f t="shared" ca="1" si="1"/>
        <v>36</v>
      </c>
      <c r="Z24" s="17" t="s">
        <v>40</v>
      </c>
      <c r="AA24" s="17" t="str">
        <f t="shared" si="2"/>
        <v>ANZ Business Unit</v>
      </c>
    </row>
    <row r="25" spans="1:27" x14ac:dyDescent="0.2">
      <c r="A25" s="9">
        <v>370</v>
      </c>
      <c r="B25" s="9" t="s">
        <v>142</v>
      </c>
      <c r="C25" s="9" t="s">
        <v>146</v>
      </c>
      <c r="D25" s="10">
        <v>43</v>
      </c>
      <c r="E25" s="9" t="s">
        <v>28</v>
      </c>
      <c r="F25" s="11" t="s">
        <v>29</v>
      </c>
      <c r="G25" s="11" t="s">
        <v>43</v>
      </c>
      <c r="H25" s="9" t="s">
        <v>88</v>
      </c>
      <c r="I25" s="9" t="s">
        <v>45</v>
      </c>
      <c r="J25" s="9" t="s">
        <v>46</v>
      </c>
      <c r="K25" s="9" t="s">
        <v>68</v>
      </c>
      <c r="L25" s="12">
        <v>33833</v>
      </c>
      <c r="M25" s="9" t="s">
        <v>48</v>
      </c>
      <c r="N25" s="9" t="s">
        <v>69</v>
      </c>
      <c r="O25" s="9" t="s">
        <v>37</v>
      </c>
      <c r="Q25" s="13">
        <v>100</v>
      </c>
      <c r="R25" s="9" t="s">
        <v>147</v>
      </c>
      <c r="S25" s="9" t="s">
        <v>90</v>
      </c>
      <c r="X25" s="15" t="str">
        <f t="shared" si="0"/>
        <v>Permanent</v>
      </c>
      <c r="Y25" s="16">
        <f t="shared" ca="1" si="1"/>
        <v>33</v>
      </c>
      <c r="Z25" s="17" t="s">
        <v>40</v>
      </c>
      <c r="AA25" s="17" t="str">
        <f t="shared" si="2"/>
        <v>ANZ Business Unit</v>
      </c>
    </row>
    <row r="26" spans="1:27" x14ac:dyDescent="0.2">
      <c r="A26" s="9">
        <v>373</v>
      </c>
      <c r="B26" s="9" t="s">
        <v>148</v>
      </c>
      <c r="C26" s="9" t="s">
        <v>67</v>
      </c>
      <c r="D26" s="10">
        <v>60</v>
      </c>
      <c r="E26" s="9" t="s">
        <v>28</v>
      </c>
      <c r="F26" s="11" t="s">
        <v>29</v>
      </c>
      <c r="G26" s="11" t="s">
        <v>43</v>
      </c>
      <c r="H26" s="9" t="s">
        <v>54</v>
      </c>
      <c r="I26" s="9" t="s">
        <v>45</v>
      </c>
      <c r="J26" s="9" t="s">
        <v>46</v>
      </c>
      <c r="K26" s="9" t="s">
        <v>96</v>
      </c>
      <c r="L26" s="12">
        <v>32811</v>
      </c>
      <c r="M26" s="9" t="s">
        <v>48</v>
      </c>
      <c r="N26" s="9" t="s">
        <v>97</v>
      </c>
      <c r="O26" s="9" t="s">
        <v>37</v>
      </c>
      <c r="Q26" s="13">
        <v>100</v>
      </c>
      <c r="R26" s="9" t="s">
        <v>149</v>
      </c>
      <c r="S26" s="9" t="s">
        <v>58</v>
      </c>
      <c r="X26" s="15" t="str">
        <f t="shared" si="0"/>
        <v>Permanent</v>
      </c>
      <c r="Y26" s="16">
        <f t="shared" ca="1" si="1"/>
        <v>36</v>
      </c>
      <c r="Z26" s="17" t="s">
        <v>40</v>
      </c>
      <c r="AA26" s="17" t="str">
        <f t="shared" si="2"/>
        <v>ANZ Business Unit</v>
      </c>
    </row>
    <row r="27" spans="1:27" x14ac:dyDescent="0.2">
      <c r="A27" s="9">
        <v>378</v>
      </c>
      <c r="B27" s="9" t="s">
        <v>150</v>
      </c>
      <c r="C27" s="9" t="s">
        <v>151</v>
      </c>
      <c r="D27" s="10">
        <v>45</v>
      </c>
      <c r="E27" s="9" t="s">
        <v>28</v>
      </c>
      <c r="F27" s="11" t="s">
        <v>29</v>
      </c>
      <c r="G27" s="11" t="s">
        <v>43</v>
      </c>
      <c r="H27" s="9" t="s">
        <v>152</v>
      </c>
      <c r="I27" s="9" t="s">
        <v>133</v>
      </c>
      <c r="J27" s="9" t="s">
        <v>134</v>
      </c>
      <c r="K27" s="9" t="s">
        <v>153</v>
      </c>
      <c r="L27" s="12">
        <v>33987</v>
      </c>
      <c r="M27" s="9" t="s">
        <v>48</v>
      </c>
      <c r="N27" s="9" t="s">
        <v>154</v>
      </c>
      <c r="O27" s="9" t="s">
        <v>37</v>
      </c>
      <c r="Q27" s="13">
        <v>100</v>
      </c>
      <c r="R27" s="9" t="s">
        <v>155</v>
      </c>
      <c r="S27" s="9" t="s">
        <v>156</v>
      </c>
      <c r="X27" s="15" t="str">
        <f t="shared" si="0"/>
        <v>Permanent</v>
      </c>
      <c r="Y27" s="16">
        <f t="shared" ca="1" si="1"/>
        <v>33</v>
      </c>
      <c r="Z27" s="17" t="s">
        <v>40</v>
      </c>
      <c r="AA27" s="17" t="str">
        <f t="shared" si="2"/>
        <v>ANZ Business Unit</v>
      </c>
    </row>
    <row r="28" spans="1:27" x14ac:dyDescent="0.2">
      <c r="A28" s="9">
        <v>379</v>
      </c>
      <c r="B28" s="9" t="s">
        <v>157</v>
      </c>
      <c r="C28" s="9" t="s">
        <v>158</v>
      </c>
      <c r="D28" s="10">
        <v>47</v>
      </c>
      <c r="E28" s="9" t="s">
        <v>28</v>
      </c>
      <c r="F28" s="11" t="s">
        <v>29</v>
      </c>
      <c r="G28" s="11" t="s">
        <v>43</v>
      </c>
      <c r="H28" s="9" t="s">
        <v>132</v>
      </c>
      <c r="I28" s="9" t="s">
        <v>133</v>
      </c>
      <c r="J28" s="9" t="s">
        <v>134</v>
      </c>
      <c r="K28" s="9" t="s">
        <v>159</v>
      </c>
      <c r="L28" s="12">
        <v>32923</v>
      </c>
      <c r="M28" s="9" t="s">
        <v>48</v>
      </c>
      <c r="N28" s="9" t="s">
        <v>159</v>
      </c>
      <c r="O28" s="9" t="s">
        <v>37</v>
      </c>
      <c r="Q28" s="13">
        <v>100</v>
      </c>
      <c r="R28" s="9" t="s">
        <v>160</v>
      </c>
      <c r="S28" s="9" t="s">
        <v>161</v>
      </c>
      <c r="X28" s="15" t="str">
        <f t="shared" si="0"/>
        <v>Permanent</v>
      </c>
      <c r="Y28" s="16">
        <f t="shared" ca="1" si="1"/>
        <v>36</v>
      </c>
      <c r="Z28" s="17" t="s">
        <v>40</v>
      </c>
      <c r="AA28" s="17" t="str">
        <f t="shared" si="2"/>
        <v>ANZ Business Unit</v>
      </c>
    </row>
    <row r="29" spans="1:27" x14ac:dyDescent="0.2">
      <c r="A29" s="9">
        <v>380</v>
      </c>
      <c r="B29" s="9" t="s">
        <v>162</v>
      </c>
      <c r="C29" s="9" t="s">
        <v>163</v>
      </c>
      <c r="D29" s="10">
        <v>57</v>
      </c>
      <c r="E29" s="9" t="s">
        <v>28</v>
      </c>
      <c r="F29" s="11" t="s">
        <v>29</v>
      </c>
      <c r="G29" s="11" t="s">
        <v>43</v>
      </c>
      <c r="H29" s="9" t="s">
        <v>164</v>
      </c>
      <c r="I29" s="9" t="s">
        <v>45</v>
      </c>
      <c r="J29" s="9" t="s">
        <v>74</v>
      </c>
      <c r="K29" s="9" t="s">
        <v>165</v>
      </c>
      <c r="L29" s="12">
        <v>34652</v>
      </c>
      <c r="M29" s="9" t="s">
        <v>48</v>
      </c>
      <c r="N29" s="9" t="s">
        <v>166</v>
      </c>
      <c r="O29" s="9" t="s">
        <v>37</v>
      </c>
      <c r="Q29" s="13">
        <v>100</v>
      </c>
      <c r="R29" s="9" t="s">
        <v>167</v>
      </c>
      <c r="S29" s="9" t="s">
        <v>168</v>
      </c>
      <c r="X29" s="15" t="str">
        <f t="shared" si="0"/>
        <v>Permanent</v>
      </c>
      <c r="Y29" s="16">
        <f t="shared" ca="1" si="1"/>
        <v>31</v>
      </c>
      <c r="Z29" s="17" t="s">
        <v>40</v>
      </c>
      <c r="AA29" s="17" t="str">
        <f t="shared" si="2"/>
        <v>ANZ Business Unit</v>
      </c>
    </row>
    <row r="30" spans="1:27" x14ac:dyDescent="0.2">
      <c r="A30" s="9">
        <v>384</v>
      </c>
      <c r="B30" s="9" t="s">
        <v>169</v>
      </c>
      <c r="C30" s="9" t="s">
        <v>170</v>
      </c>
      <c r="D30" s="10">
        <v>56</v>
      </c>
      <c r="E30" s="9" t="s">
        <v>28</v>
      </c>
      <c r="F30" s="11" t="s">
        <v>29</v>
      </c>
      <c r="G30" s="11" t="s">
        <v>43</v>
      </c>
      <c r="H30" s="9" t="s">
        <v>108</v>
      </c>
      <c r="I30" s="9" t="s">
        <v>45</v>
      </c>
      <c r="J30" s="9" t="s">
        <v>46</v>
      </c>
      <c r="K30" s="9" t="s">
        <v>96</v>
      </c>
      <c r="L30" s="12">
        <v>32432</v>
      </c>
      <c r="M30" s="9" t="s">
        <v>48</v>
      </c>
      <c r="N30" s="9" t="s">
        <v>97</v>
      </c>
      <c r="O30" s="9" t="s">
        <v>37</v>
      </c>
      <c r="Q30" s="13">
        <v>100</v>
      </c>
      <c r="R30" s="9" t="s">
        <v>171</v>
      </c>
      <c r="S30" s="9" t="s">
        <v>63</v>
      </c>
      <c r="X30" s="15" t="str">
        <f t="shared" si="0"/>
        <v>Permanent</v>
      </c>
      <c r="Y30" s="16">
        <f t="shared" ca="1" si="1"/>
        <v>37</v>
      </c>
      <c r="Z30" s="17" t="s">
        <v>40</v>
      </c>
      <c r="AA30" s="17" t="str">
        <f t="shared" si="2"/>
        <v>ANZ Business Unit</v>
      </c>
    </row>
  </sheetData>
  <autoFilter ref="A1:AA30" xr:uid="{00000000-0009-0000-0000-00000A000000}"/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0352-BSCS-20 -Mujahid-Nawaz</dc:creator>
  <cp:lastModifiedBy>Ahmad Raza</cp:lastModifiedBy>
  <dcterms:created xsi:type="dcterms:W3CDTF">2025-08-08T09:50:10Z</dcterms:created>
  <dcterms:modified xsi:type="dcterms:W3CDTF">2026-03-17T12:55:45Z</dcterms:modified>
</cp:coreProperties>
</file>